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neel\Acads\4-1\SOP\Tables\MoU_tables\"/>
    </mc:Choice>
  </mc:AlternateContent>
  <xr:revisionPtr revIDLastSave="0" documentId="13_ncr:1_{011C4218-255F-4165-861D-7BEF3A145F9E}" xr6:coauthVersionLast="47" xr6:coauthVersionMax="47" xr10:uidLastSave="{00000000-0000-0000-0000-000000000000}"/>
  <bookViews>
    <workbookView xWindow="-120" yWindow="-120" windowWidth="29040" windowHeight="15720" xr2:uid="{314E88D3-DD0C-4AA8-8AD8-3C5EA8889ADC}"/>
  </bookViews>
  <sheets>
    <sheet name="Data" sheetId="3" r:id="rId1"/>
    <sheet name="Regression" sheetId="4" r:id="rId2"/>
  </sheets>
  <definedNames>
    <definedName name="_xlnm._FilterDatabase" localSheetId="0" hidden="1">Data!$A$1:$G$125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4" i="3" l="1"/>
  <c r="J263" i="3"/>
  <c r="J262" i="3"/>
  <c r="O264" i="3"/>
  <c r="O263" i="3"/>
  <c r="O262" i="3"/>
  <c r="K264" i="3"/>
  <c r="K263" i="3"/>
  <c r="K262" i="3"/>
  <c r="F264" i="3"/>
  <c r="F263" i="3"/>
  <c r="F262" i="3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P252" i="4"/>
  <c r="P253" i="4"/>
  <c r="P254" i="4"/>
  <c r="P255" i="4"/>
  <c r="P256" i="4"/>
  <c r="P257" i="4"/>
  <c r="P258" i="4"/>
  <c r="P259" i="4"/>
  <c r="P260" i="4"/>
  <c r="P251" i="4"/>
  <c r="P250" i="4"/>
  <c r="P249" i="4"/>
  <c r="P248" i="4"/>
  <c r="P247" i="4"/>
  <c r="P246" i="4"/>
  <c r="P245" i="4"/>
  <c r="P244" i="4"/>
  <c r="P243" i="4"/>
  <c r="P242" i="4"/>
  <c r="P241" i="4"/>
  <c r="P240" i="4"/>
  <c r="P239" i="4"/>
  <c r="P238" i="4"/>
  <c r="P237" i="4"/>
  <c r="P236" i="4"/>
  <c r="P235" i="4"/>
  <c r="P234" i="4"/>
  <c r="P233" i="4"/>
  <c r="P232" i="4"/>
  <c r="P231" i="4"/>
  <c r="P230" i="4"/>
  <c r="P229" i="4"/>
  <c r="P228" i="4"/>
  <c r="P227" i="4"/>
  <c r="P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C125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N260" i="3"/>
  <c r="O260" i="4" s="1"/>
  <c r="N259" i="3"/>
  <c r="O259" i="4" s="1"/>
  <c r="N258" i="3"/>
  <c r="O258" i="4" s="1"/>
  <c r="N257" i="3"/>
  <c r="O257" i="4" s="1"/>
  <c r="N256" i="3"/>
  <c r="O256" i="4" s="1"/>
  <c r="N255" i="3"/>
  <c r="O255" i="4" s="1"/>
  <c r="N254" i="3"/>
  <c r="O254" i="4" s="1"/>
  <c r="N253" i="3"/>
  <c r="O253" i="4" s="1"/>
  <c r="N252" i="3"/>
  <c r="O252" i="4" s="1"/>
  <c r="N251" i="3"/>
  <c r="O251" i="4" s="1"/>
  <c r="N250" i="3"/>
  <c r="O250" i="4" s="1"/>
  <c r="N249" i="3"/>
  <c r="O249" i="4" s="1"/>
  <c r="N248" i="3"/>
  <c r="O248" i="4" s="1"/>
  <c r="N247" i="3"/>
  <c r="O247" i="4" s="1"/>
  <c r="N246" i="3"/>
  <c r="O246" i="4" s="1"/>
  <c r="N245" i="3"/>
  <c r="O245" i="4" s="1"/>
  <c r="N244" i="3"/>
  <c r="O244" i="4" s="1"/>
  <c r="N243" i="3"/>
  <c r="O243" i="4" s="1"/>
  <c r="N242" i="3"/>
  <c r="O242" i="4" s="1"/>
  <c r="N241" i="3"/>
  <c r="O241" i="4" s="1"/>
  <c r="N240" i="3"/>
  <c r="O240" i="4" s="1"/>
  <c r="N239" i="3"/>
  <c r="O239" i="4" s="1"/>
  <c r="N238" i="3"/>
  <c r="O238" i="4" s="1"/>
  <c r="N237" i="3"/>
  <c r="O237" i="4" s="1"/>
  <c r="N236" i="3"/>
  <c r="O236" i="4" s="1"/>
  <c r="N235" i="3"/>
  <c r="O235" i="4" s="1"/>
  <c r="N234" i="3"/>
  <c r="O234" i="4" s="1"/>
  <c r="N233" i="3"/>
  <c r="O233" i="4" s="1"/>
  <c r="N232" i="3"/>
  <c r="O232" i="4" s="1"/>
  <c r="N231" i="3"/>
  <c r="O231" i="4" s="1"/>
  <c r="N230" i="3"/>
  <c r="O230" i="4" s="1"/>
  <c r="N229" i="3"/>
  <c r="O229" i="4" s="1"/>
  <c r="N228" i="3"/>
  <c r="O228" i="4" s="1"/>
  <c r="N227" i="3"/>
  <c r="O227" i="4" s="1"/>
  <c r="N226" i="3"/>
  <c r="O226" i="4" s="1"/>
  <c r="N225" i="3"/>
  <c r="O225" i="4" s="1"/>
  <c r="N224" i="3"/>
  <c r="O224" i="4" s="1"/>
  <c r="N223" i="3"/>
  <c r="O223" i="4" s="1"/>
  <c r="N222" i="3"/>
  <c r="O222" i="4" s="1"/>
  <c r="N221" i="3"/>
  <c r="O221" i="4" s="1"/>
  <c r="N220" i="3"/>
  <c r="O220" i="4" s="1"/>
  <c r="N219" i="3"/>
  <c r="O219" i="4" s="1"/>
  <c r="N218" i="3"/>
  <c r="O218" i="4" s="1"/>
  <c r="N217" i="3"/>
  <c r="O217" i="4" s="1"/>
  <c r="N216" i="3"/>
  <c r="O216" i="4" s="1"/>
  <c r="N215" i="3"/>
  <c r="O215" i="4" s="1"/>
  <c r="N214" i="3"/>
  <c r="O214" i="4" s="1"/>
  <c r="N213" i="3"/>
  <c r="O213" i="4" s="1"/>
  <c r="N212" i="3"/>
  <c r="O212" i="4" s="1"/>
  <c r="N211" i="3"/>
  <c r="O211" i="4" s="1"/>
  <c r="N210" i="3"/>
  <c r="O210" i="4" s="1"/>
  <c r="N209" i="3"/>
  <c r="O209" i="4" s="1"/>
  <c r="N208" i="3"/>
  <c r="O208" i="4" s="1"/>
  <c r="N207" i="3"/>
  <c r="O207" i="4" s="1"/>
  <c r="N206" i="3"/>
  <c r="O206" i="4" s="1"/>
  <c r="N205" i="3"/>
  <c r="O205" i="4" s="1"/>
  <c r="N204" i="3"/>
  <c r="O204" i="4" s="1"/>
  <c r="N203" i="3"/>
  <c r="O203" i="4" s="1"/>
  <c r="N202" i="3"/>
  <c r="O202" i="4" s="1"/>
  <c r="N201" i="3"/>
  <c r="O201" i="4" s="1"/>
  <c r="N200" i="3"/>
  <c r="O200" i="4" s="1"/>
  <c r="N199" i="3"/>
  <c r="O199" i="4" s="1"/>
  <c r="N198" i="3"/>
  <c r="O198" i="4" s="1"/>
  <c r="N197" i="3"/>
  <c r="O197" i="4" s="1"/>
  <c r="N196" i="3"/>
  <c r="O196" i="4" s="1"/>
  <c r="N195" i="3"/>
  <c r="O195" i="4" s="1"/>
  <c r="N194" i="3"/>
  <c r="O194" i="4" s="1"/>
  <c r="N193" i="3"/>
  <c r="O193" i="4" s="1"/>
  <c r="N192" i="3"/>
  <c r="O192" i="4" s="1"/>
  <c r="N191" i="3"/>
  <c r="O191" i="4" s="1"/>
  <c r="N190" i="3"/>
  <c r="O190" i="4" s="1"/>
  <c r="N189" i="3"/>
  <c r="O189" i="4" s="1"/>
  <c r="N188" i="3"/>
  <c r="O188" i="4" s="1"/>
  <c r="N187" i="3"/>
  <c r="O187" i="4" s="1"/>
  <c r="N186" i="3"/>
  <c r="O186" i="4" s="1"/>
  <c r="N185" i="3"/>
  <c r="O185" i="4" s="1"/>
  <c r="N184" i="3"/>
  <c r="O184" i="4" s="1"/>
  <c r="N183" i="3"/>
  <c r="O183" i="4" s="1"/>
  <c r="N182" i="3"/>
  <c r="O182" i="4" s="1"/>
  <c r="N181" i="3"/>
  <c r="O181" i="4" s="1"/>
  <c r="N180" i="3"/>
  <c r="O180" i="4" s="1"/>
  <c r="N179" i="3"/>
  <c r="O179" i="4" s="1"/>
  <c r="N178" i="3"/>
  <c r="O178" i="4" s="1"/>
  <c r="N177" i="3"/>
  <c r="O177" i="4" s="1"/>
  <c r="N176" i="3"/>
  <c r="O176" i="4" s="1"/>
  <c r="N175" i="3"/>
  <c r="O175" i="4" s="1"/>
  <c r="N174" i="3"/>
  <c r="O174" i="4" s="1"/>
  <c r="N173" i="3"/>
  <c r="O173" i="4" s="1"/>
  <c r="N172" i="3"/>
  <c r="O172" i="4" s="1"/>
  <c r="N171" i="3"/>
  <c r="O171" i="4" s="1"/>
  <c r="N170" i="3"/>
  <c r="O170" i="4" s="1"/>
  <c r="N169" i="3"/>
  <c r="O169" i="4" s="1"/>
  <c r="N168" i="3"/>
  <c r="O168" i="4" s="1"/>
  <c r="N167" i="3"/>
  <c r="O167" i="4" s="1"/>
  <c r="N166" i="3"/>
  <c r="O166" i="4" s="1"/>
  <c r="N165" i="3"/>
  <c r="O165" i="4" s="1"/>
  <c r="N164" i="3"/>
  <c r="O164" i="4" s="1"/>
  <c r="N163" i="3"/>
  <c r="O163" i="4" s="1"/>
  <c r="N162" i="3"/>
  <c r="O162" i="4" s="1"/>
  <c r="N161" i="3"/>
  <c r="O161" i="4" s="1"/>
  <c r="N160" i="3"/>
  <c r="O160" i="4" s="1"/>
  <c r="N159" i="3"/>
  <c r="O159" i="4" s="1"/>
  <c r="N158" i="3"/>
  <c r="O158" i="4" s="1"/>
  <c r="N157" i="3"/>
  <c r="O157" i="4" s="1"/>
  <c r="N156" i="3"/>
  <c r="O156" i="4" s="1"/>
  <c r="N155" i="3"/>
  <c r="O155" i="4" s="1"/>
  <c r="N154" i="3"/>
  <c r="O154" i="4" s="1"/>
  <c r="N153" i="3"/>
  <c r="O153" i="4" s="1"/>
  <c r="N152" i="3"/>
  <c r="O152" i="4" s="1"/>
  <c r="N151" i="3"/>
  <c r="O151" i="4" s="1"/>
  <c r="N150" i="3"/>
  <c r="O150" i="4" s="1"/>
  <c r="N149" i="3"/>
  <c r="O149" i="4" s="1"/>
  <c r="N148" i="3"/>
  <c r="O148" i="4" s="1"/>
  <c r="N147" i="3"/>
  <c r="O147" i="4" s="1"/>
  <c r="N146" i="3"/>
  <c r="O146" i="4" s="1"/>
  <c r="N145" i="3"/>
  <c r="O145" i="4" s="1"/>
  <c r="N144" i="3"/>
  <c r="O144" i="4" s="1"/>
  <c r="N143" i="3"/>
  <c r="O143" i="4" s="1"/>
  <c r="N142" i="3"/>
  <c r="O142" i="4" s="1"/>
  <c r="N141" i="3"/>
  <c r="O141" i="4" s="1"/>
  <c r="N140" i="3"/>
  <c r="O140" i="4" s="1"/>
  <c r="N139" i="3"/>
  <c r="O139" i="4" s="1"/>
  <c r="N138" i="3"/>
  <c r="O138" i="4" s="1"/>
  <c r="N137" i="3"/>
  <c r="O137" i="4" s="1"/>
  <c r="N136" i="3"/>
  <c r="O136" i="4" s="1"/>
  <c r="N135" i="3"/>
  <c r="O135" i="4" s="1"/>
  <c r="N134" i="3"/>
  <c r="O134" i="4" s="1"/>
  <c r="N133" i="3"/>
  <c r="O133" i="4" s="1"/>
  <c r="N132" i="3"/>
  <c r="O132" i="4" s="1"/>
  <c r="N131" i="3"/>
  <c r="O131" i="4" s="1"/>
  <c r="N130" i="3"/>
  <c r="O130" i="4" s="1"/>
  <c r="N129" i="3"/>
  <c r="O129" i="4" s="1"/>
  <c r="N128" i="3"/>
  <c r="O128" i="4" s="1"/>
  <c r="N127" i="3"/>
  <c r="O127" i="4" s="1"/>
  <c r="N126" i="3"/>
  <c r="O126" i="4" s="1"/>
  <c r="N125" i="3"/>
  <c r="O125" i="4" s="1"/>
  <c r="N124" i="3"/>
  <c r="O124" i="4" s="1"/>
  <c r="N123" i="3"/>
  <c r="O123" i="4" s="1"/>
  <c r="N122" i="3"/>
  <c r="O122" i="4" s="1"/>
  <c r="N121" i="3"/>
  <c r="O121" i="4" s="1"/>
  <c r="N120" i="3"/>
  <c r="O120" i="4" s="1"/>
  <c r="N119" i="3"/>
  <c r="O119" i="4" s="1"/>
  <c r="N118" i="3"/>
  <c r="O118" i="4" s="1"/>
  <c r="N117" i="3"/>
  <c r="O117" i="4" s="1"/>
  <c r="N116" i="3"/>
  <c r="O116" i="4" s="1"/>
  <c r="N115" i="3"/>
  <c r="O115" i="4" s="1"/>
  <c r="N114" i="3"/>
  <c r="O114" i="4" s="1"/>
  <c r="N113" i="3"/>
  <c r="O113" i="4" s="1"/>
  <c r="N112" i="3"/>
  <c r="O112" i="4" s="1"/>
  <c r="N111" i="3"/>
  <c r="O111" i="4" s="1"/>
  <c r="N110" i="3"/>
  <c r="O110" i="4" s="1"/>
  <c r="N109" i="3"/>
  <c r="O109" i="4" s="1"/>
  <c r="N108" i="3"/>
  <c r="O108" i="4" s="1"/>
  <c r="N107" i="3"/>
  <c r="O107" i="4" s="1"/>
  <c r="N106" i="3"/>
  <c r="O106" i="4" s="1"/>
  <c r="N105" i="3"/>
  <c r="O105" i="4" s="1"/>
  <c r="N104" i="3"/>
  <c r="O104" i="4" s="1"/>
  <c r="N103" i="3"/>
  <c r="O103" i="4" s="1"/>
  <c r="N102" i="3"/>
  <c r="O102" i="4" s="1"/>
  <c r="N101" i="3"/>
  <c r="O101" i="4" s="1"/>
  <c r="N100" i="3"/>
  <c r="O100" i="4" s="1"/>
  <c r="N99" i="3"/>
  <c r="O99" i="4" s="1"/>
  <c r="N98" i="3"/>
  <c r="O98" i="4" s="1"/>
  <c r="N97" i="3"/>
  <c r="O97" i="4" s="1"/>
  <c r="N96" i="3"/>
  <c r="O96" i="4" s="1"/>
  <c r="N95" i="3"/>
  <c r="O95" i="4" s="1"/>
  <c r="N94" i="3"/>
  <c r="O94" i="4" s="1"/>
  <c r="N93" i="3"/>
  <c r="O93" i="4" s="1"/>
  <c r="N92" i="3"/>
  <c r="O92" i="4" s="1"/>
  <c r="N91" i="3"/>
  <c r="O91" i="4" s="1"/>
  <c r="N90" i="3"/>
  <c r="O90" i="4" s="1"/>
  <c r="N89" i="3"/>
  <c r="O89" i="4" s="1"/>
  <c r="N88" i="3"/>
  <c r="O88" i="4" s="1"/>
  <c r="N87" i="3"/>
  <c r="O87" i="4" s="1"/>
  <c r="N86" i="3"/>
  <c r="O86" i="4" s="1"/>
  <c r="N85" i="3"/>
  <c r="O85" i="4" s="1"/>
  <c r="N84" i="3"/>
  <c r="O84" i="4" s="1"/>
  <c r="N83" i="3"/>
  <c r="O83" i="4" s="1"/>
  <c r="N82" i="3"/>
  <c r="O82" i="4" s="1"/>
  <c r="N81" i="3"/>
  <c r="O81" i="4" s="1"/>
  <c r="N80" i="3"/>
  <c r="O80" i="4" s="1"/>
  <c r="N79" i="3"/>
  <c r="O79" i="4" s="1"/>
  <c r="N78" i="3"/>
  <c r="O78" i="4" s="1"/>
  <c r="N77" i="3"/>
  <c r="O77" i="4" s="1"/>
  <c r="N76" i="3"/>
  <c r="O76" i="4" s="1"/>
  <c r="N75" i="3"/>
  <c r="O75" i="4" s="1"/>
  <c r="N74" i="3"/>
  <c r="O74" i="4" s="1"/>
  <c r="N73" i="3"/>
  <c r="O73" i="4" s="1"/>
  <c r="N72" i="3"/>
  <c r="O72" i="4" s="1"/>
  <c r="N71" i="3"/>
  <c r="O71" i="4" s="1"/>
  <c r="N70" i="3"/>
  <c r="O70" i="4" s="1"/>
  <c r="N69" i="3"/>
  <c r="O69" i="4" s="1"/>
  <c r="N68" i="3"/>
  <c r="O68" i="4" s="1"/>
  <c r="N67" i="3"/>
  <c r="O67" i="4" s="1"/>
  <c r="N66" i="3"/>
  <c r="O66" i="4" s="1"/>
  <c r="N65" i="3"/>
  <c r="O65" i="4" s="1"/>
  <c r="N64" i="3"/>
  <c r="O64" i="4" s="1"/>
  <c r="N63" i="3"/>
  <c r="O63" i="4" s="1"/>
  <c r="N62" i="3"/>
  <c r="O62" i="4" s="1"/>
  <c r="N61" i="3"/>
  <c r="O61" i="4" s="1"/>
  <c r="N60" i="3"/>
  <c r="O60" i="4" s="1"/>
  <c r="N59" i="3"/>
  <c r="O59" i="4" s="1"/>
  <c r="N58" i="3"/>
  <c r="O58" i="4" s="1"/>
  <c r="N57" i="3"/>
  <c r="O57" i="4" s="1"/>
  <c r="N56" i="3"/>
  <c r="O56" i="4" s="1"/>
  <c r="N55" i="3"/>
  <c r="O55" i="4" s="1"/>
  <c r="N54" i="3"/>
  <c r="O54" i="4" s="1"/>
  <c r="N53" i="3"/>
  <c r="O53" i="4" s="1"/>
  <c r="N52" i="3"/>
  <c r="O52" i="4" s="1"/>
  <c r="N51" i="3"/>
  <c r="O51" i="4" s="1"/>
  <c r="N50" i="3"/>
  <c r="O50" i="4" s="1"/>
  <c r="N49" i="3"/>
  <c r="O49" i="4" s="1"/>
  <c r="N48" i="3"/>
  <c r="O48" i="4" s="1"/>
  <c r="N47" i="3"/>
  <c r="O47" i="4" s="1"/>
  <c r="N46" i="3"/>
  <c r="O46" i="4" s="1"/>
  <c r="N45" i="3"/>
  <c r="O45" i="4" s="1"/>
  <c r="N44" i="3"/>
  <c r="O44" i="4" s="1"/>
  <c r="N43" i="3"/>
  <c r="O43" i="4" s="1"/>
  <c r="N42" i="3"/>
  <c r="O42" i="4" s="1"/>
  <c r="N41" i="3"/>
  <c r="O41" i="4" s="1"/>
  <c r="N40" i="3"/>
  <c r="O40" i="4" s="1"/>
  <c r="N39" i="3"/>
  <c r="O39" i="4" s="1"/>
  <c r="N38" i="3"/>
  <c r="O38" i="4" s="1"/>
  <c r="N37" i="3"/>
  <c r="O37" i="4" s="1"/>
  <c r="N36" i="3"/>
  <c r="O36" i="4" s="1"/>
  <c r="N35" i="3"/>
  <c r="O35" i="4" s="1"/>
  <c r="N34" i="3"/>
  <c r="O34" i="4" s="1"/>
  <c r="N33" i="3"/>
  <c r="O33" i="4" s="1"/>
  <c r="N32" i="3"/>
  <c r="O32" i="4" s="1"/>
  <c r="N31" i="3"/>
  <c r="O31" i="4" s="1"/>
  <c r="N30" i="3"/>
  <c r="O30" i="4" s="1"/>
  <c r="N29" i="3"/>
  <c r="O29" i="4" s="1"/>
  <c r="N28" i="3"/>
  <c r="O28" i="4" s="1"/>
  <c r="N27" i="3"/>
  <c r="O27" i="4" s="1"/>
  <c r="N26" i="3"/>
  <c r="O26" i="4" s="1"/>
  <c r="N25" i="3"/>
  <c r="O25" i="4" s="1"/>
  <c r="N24" i="3"/>
  <c r="O24" i="4" s="1"/>
  <c r="N23" i="3"/>
  <c r="O23" i="4" s="1"/>
  <c r="N22" i="3"/>
  <c r="O22" i="4" s="1"/>
  <c r="N21" i="3"/>
  <c r="O21" i="4" s="1"/>
  <c r="N20" i="3"/>
  <c r="O20" i="4" s="1"/>
  <c r="N19" i="3"/>
  <c r="O19" i="4" s="1"/>
  <c r="N18" i="3"/>
  <c r="O18" i="4" s="1"/>
  <c r="N17" i="3"/>
  <c r="O17" i="4" s="1"/>
  <c r="N16" i="3"/>
  <c r="O16" i="4" s="1"/>
  <c r="N15" i="3"/>
  <c r="O15" i="4" s="1"/>
  <c r="N14" i="3"/>
  <c r="O14" i="4" s="1"/>
  <c r="N13" i="3"/>
  <c r="O13" i="4" s="1"/>
  <c r="N12" i="3"/>
  <c r="O12" i="4" s="1"/>
  <c r="N11" i="3"/>
  <c r="O11" i="4" s="1"/>
  <c r="N10" i="3"/>
  <c r="O10" i="4" s="1"/>
  <c r="N9" i="3"/>
  <c r="O9" i="4" s="1"/>
  <c r="N8" i="3"/>
  <c r="O8" i="4" s="1"/>
  <c r="N7" i="3"/>
  <c r="O7" i="4" s="1"/>
  <c r="N6" i="3"/>
  <c r="O6" i="4" s="1"/>
  <c r="N5" i="3"/>
  <c r="O5" i="4" s="1"/>
  <c r="N4" i="3"/>
  <c r="O4" i="4" s="1"/>
  <c r="N3" i="3"/>
  <c r="O3" i="4" s="1"/>
  <c r="N2" i="3"/>
  <c r="O2" i="4" s="1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G260" i="4" l="1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A260" i="4"/>
  <c r="E260" i="4" s="1"/>
  <c r="A259" i="4"/>
  <c r="E259" i="4" s="1"/>
  <c r="A258" i="4"/>
  <c r="E258" i="4" s="1"/>
  <c r="A257" i="4"/>
  <c r="E257" i="4" s="1"/>
  <c r="A256" i="4"/>
  <c r="E256" i="4" s="1"/>
  <c r="A255" i="4"/>
  <c r="E255" i="4" s="1"/>
  <c r="A254" i="4"/>
  <c r="E254" i="4" s="1"/>
  <c r="A253" i="4"/>
  <c r="E253" i="4" s="1"/>
  <c r="A252" i="4"/>
  <c r="E252" i="4" s="1"/>
  <c r="A251" i="4"/>
  <c r="E251" i="4" s="1"/>
  <c r="A250" i="4"/>
  <c r="E250" i="4" s="1"/>
  <c r="A249" i="4"/>
  <c r="E249" i="4" s="1"/>
  <c r="A248" i="4"/>
  <c r="E248" i="4" s="1"/>
  <c r="A247" i="4"/>
  <c r="E247" i="4" s="1"/>
  <c r="A246" i="4"/>
  <c r="E246" i="4" s="1"/>
  <c r="A245" i="4"/>
  <c r="E245" i="4" s="1"/>
  <c r="A244" i="4"/>
  <c r="E244" i="4" s="1"/>
  <c r="A243" i="4"/>
  <c r="E243" i="4" s="1"/>
  <c r="A242" i="4"/>
  <c r="E242" i="4" s="1"/>
  <c r="A241" i="4"/>
  <c r="E241" i="4" s="1"/>
  <c r="A240" i="4"/>
  <c r="E240" i="4" s="1"/>
  <c r="A239" i="4"/>
  <c r="E239" i="4" s="1"/>
  <c r="A238" i="4"/>
  <c r="E238" i="4" s="1"/>
  <c r="A237" i="4"/>
  <c r="E237" i="4" s="1"/>
  <c r="A236" i="4"/>
  <c r="E236" i="4" s="1"/>
  <c r="A235" i="4"/>
  <c r="E235" i="4" s="1"/>
  <c r="A234" i="4"/>
  <c r="E234" i="4" s="1"/>
  <c r="A233" i="4"/>
  <c r="E233" i="4" s="1"/>
  <c r="A232" i="4"/>
  <c r="E232" i="4" s="1"/>
  <c r="A231" i="4"/>
  <c r="E231" i="4" s="1"/>
  <c r="A230" i="4"/>
  <c r="E230" i="4" s="1"/>
  <c r="A229" i="4"/>
  <c r="E229" i="4" s="1"/>
  <c r="A228" i="4"/>
  <c r="E228" i="4" s="1"/>
  <c r="A227" i="4"/>
  <c r="E227" i="4" s="1"/>
  <c r="A226" i="4"/>
  <c r="E226" i="4" s="1"/>
  <c r="A225" i="4"/>
  <c r="E225" i="4" s="1"/>
  <c r="A224" i="4"/>
  <c r="E224" i="4" s="1"/>
  <c r="A223" i="4"/>
  <c r="E223" i="4" s="1"/>
  <c r="A222" i="4"/>
  <c r="E222" i="4" s="1"/>
  <c r="A221" i="4"/>
  <c r="E221" i="4" s="1"/>
  <c r="A220" i="4"/>
  <c r="E220" i="4" s="1"/>
  <c r="A219" i="4"/>
  <c r="E219" i="4" s="1"/>
  <c r="A218" i="4"/>
  <c r="E218" i="4" s="1"/>
  <c r="A217" i="4"/>
  <c r="E217" i="4" s="1"/>
  <c r="A216" i="4"/>
  <c r="E216" i="4" s="1"/>
  <c r="A215" i="4"/>
  <c r="E215" i="4" s="1"/>
  <c r="A214" i="4"/>
  <c r="E214" i="4" s="1"/>
  <c r="A213" i="4"/>
  <c r="E213" i="4" s="1"/>
  <c r="A212" i="4"/>
  <c r="E212" i="4" s="1"/>
  <c r="A211" i="4"/>
  <c r="E211" i="4" s="1"/>
  <c r="A210" i="4"/>
  <c r="E210" i="4" s="1"/>
  <c r="A209" i="4"/>
  <c r="E209" i="4" s="1"/>
  <c r="A208" i="4"/>
  <c r="E208" i="4" s="1"/>
  <c r="A207" i="4"/>
  <c r="E207" i="4" s="1"/>
  <c r="A206" i="4"/>
  <c r="E206" i="4" s="1"/>
  <c r="A205" i="4"/>
  <c r="E205" i="4" s="1"/>
  <c r="A204" i="4"/>
  <c r="E204" i="4" s="1"/>
  <c r="A203" i="4"/>
  <c r="E203" i="4" s="1"/>
  <c r="A202" i="4"/>
  <c r="E202" i="4" s="1"/>
  <c r="A201" i="4"/>
  <c r="E201" i="4" s="1"/>
  <c r="A200" i="4"/>
  <c r="E200" i="4" s="1"/>
  <c r="A199" i="4"/>
  <c r="E199" i="4" s="1"/>
  <c r="A198" i="4"/>
  <c r="E198" i="4" s="1"/>
  <c r="A197" i="4"/>
  <c r="E197" i="4" s="1"/>
  <c r="A196" i="4"/>
  <c r="E196" i="4" s="1"/>
  <c r="A195" i="4"/>
  <c r="E195" i="4" s="1"/>
  <c r="A194" i="4"/>
  <c r="E194" i="4" s="1"/>
  <c r="A193" i="4"/>
  <c r="E193" i="4" s="1"/>
  <c r="A192" i="4"/>
  <c r="E192" i="4" s="1"/>
  <c r="A191" i="4"/>
  <c r="E191" i="4" s="1"/>
  <c r="A190" i="4"/>
  <c r="E190" i="4" s="1"/>
  <c r="A189" i="4"/>
  <c r="E189" i="4" s="1"/>
  <c r="A188" i="4"/>
  <c r="E188" i="4" s="1"/>
  <c r="A187" i="4"/>
  <c r="E187" i="4" s="1"/>
  <c r="A186" i="4"/>
  <c r="E186" i="4" s="1"/>
  <c r="A185" i="4"/>
  <c r="E185" i="4" s="1"/>
  <c r="A184" i="4"/>
  <c r="E184" i="4" s="1"/>
  <c r="A183" i="4"/>
  <c r="E183" i="4" s="1"/>
  <c r="A182" i="4"/>
  <c r="E182" i="4" s="1"/>
  <c r="A181" i="4"/>
  <c r="E181" i="4" s="1"/>
  <c r="A180" i="4"/>
  <c r="E180" i="4" s="1"/>
  <c r="A179" i="4"/>
  <c r="E179" i="4" s="1"/>
  <c r="A178" i="4"/>
  <c r="E178" i="4" s="1"/>
  <c r="A177" i="4"/>
  <c r="E177" i="4" s="1"/>
  <c r="A176" i="4"/>
  <c r="E176" i="4" s="1"/>
  <c r="A175" i="4"/>
  <c r="E175" i="4" s="1"/>
  <c r="A174" i="4"/>
  <c r="E174" i="4" s="1"/>
  <c r="A173" i="4"/>
  <c r="E173" i="4" s="1"/>
  <c r="A172" i="4"/>
  <c r="E172" i="4" s="1"/>
  <c r="A171" i="4"/>
  <c r="E171" i="4" s="1"/>
  <c r="A170" i="4"/>
  <c r="E170" i="4" s="1"/>
  <c r="A169" i="4"/>
  <c r="E169" i="4" s="1"/>
  <c r="A168" i="4"/>
  <c r="E168" i="4" s="1"/>
  <c r="A167" i="4"/>
  <c r="E167" i="4" s="1"/>
  <c r="A166" i="4"/>
  <c r="E166" i="4" s="1"/>
  <c r="A165" i="4"/>
  <c r="E165" i="4" s="1"/>
  <c r="A164" i="4"/>
  <c r="E164" i="4" s="1"/>
  <c r="A163" i="4"/>
  <c r="E163" i="4" s="1"/>
  <c r="A162" i="4"/>
  <c r="E162" i="4" s="1"/>
  <c r="A161" i="4"/>
  <c r="E161" i="4" s="1"/>
  <c r="A160" i="4"/>
  <c r="E160" i="4" s="1"/>
  <c r="A159" i="4"/>
  <c r="E159" i="4" s="1"/>
  <c r="A158" i="4"/>
  <c r="E158" i="4" s="1"/>
  <c r="A157" i="4"/>
  <c r="E157" i="4" s="1"/>
  <c r="A156" i="4"/>
  <c r="E156" i="4" s="1"/>
  <c r="A155" i="4"/>
  <c r="E155" i="4" s="1"/>
  <c r="A154" i="4"/>
  <c r="E154" i="4" s="1"/>
  <c r="A153" i="4"/>
  <c r="E153" i="4" s="1"/>
  <c r="A152" i="4"/>
  <c r="E152" i="4" s="1"/>
  <c r="A151" i="4"/>
  <c r="E151" i="4" s="1"/>
  <c r="A150" i="4"/>
  <c r="E150" i="4" s="1"/>
  <c r="A149" i="4"/>
  <c r="E149" i="4" s="1"/>
  <c r="A148" i="4"/>
  <c r="E148" i="4" s="1"/>
  <c r="A147" i="4"/>
  <c r="E147" i="4" s="1"/>
  <c r="A146" i="4"/>
  <c r="E146" i="4" s="1"/>
  <c r="A145" i="4"/>
  <c r="E145" i="4" s="1"/>
  <c r="A144" i="4"/>
  <c r="E144" i="4" s="1"/>
  <c r="A143" i="4"/>
  <c r="E143" i="4" s="1"/>
  <c r="A142" i="4"/>
  <c r="E142" i="4" s="1"/>
  <c r="A141" i="4"/>
  <c r="E141" i="4" s="1"/>
  <c r="A140" i="4"/>
  <c r="E140" i="4" s="1"/>
  <c r="A139" i="4"/>
  <c r="E139" i="4" s="1"/>
  <c r="A138" i="4"/>
  <c r="E138" i="4" s="1"/>
  <c r="A137" i="4"/>
  <c r="E137" i="4" s="1"/>
  <c r="A136" i="4"/>
  <c r="E136" i="4" s="1"/>
  <c r="A135" i="4"/>
  <c r="E135" i="4" s="1"/>
  <c r="A134" i="4"/>
  <c r="E134" i="4" s="1"/>
  <c r="A133" i="4"/>
  <c r="E133" i="4" s="1"/>
  <c r="A132" i="4"/>
  <c r="E132" i="4" s="1"/>
  <c r="A131" i="4"/>
  <c r="E131" i="4" s="1"/>
  <c r="A130" i="4"/>
  <c r="E130" i="4" s="1"/>
  <c r="A129" i="4"/>
  <c r="E129" i="4" s="1"/>
  <c r="A128" i="4"/>
  <c r="E128" i="4" s="1"/>
  <c r="A127" i="4"/>
  <c r="E127" i="4" s="1"/>
  <c r="A126" i="4"/>
  <c r="E126" i="4" s="1"/>
  <c r="A125" i="4"/>
  <c r="E125" i="4" s="1"/>
  <c r="A124" i="4"/>
  <c r="E124" i="4" s="1"/>
  <c r="A123" i="4"/>
  <c r="E123" i="4" s="1"/>
  <c r="A122" i="4"/>
  <c r="E122" i="4" s="1"/>
  <c r="A121" i="4"/>
  <c r="E121" i="4" s="1"/>
  <c r="A120" i="4"/>
  <c r="E120" i="4" s="1"/>
  <c r="A119" i="4"/>
  <c r="E119" i="4" s="1"/>
  <c r="A118" i="4"/>
  <c r="E118" i="4" s="1"/>
  <c r="A117" i="4"/>
  <c r="E117" i="4" s="1"/>
  <c r="A116" i="4"/>
  <c r="E116" i="4" s="1"/>
  <c r="A115" i="4"/>
  <c r="E115" i="4" s="1"/>
  <c r="A114" i="4"/>
  <c r="E114" i="4" s="1"/>
  <c r="A113" i="4"/>
  <c r="E113" i="4" s="1"/>
  <c r="A112" i="4"/>
  <c r="E112" i="4" s="1"/>
  <c r="A111" i="4"/>
  <c r="E111" i="4" s="1"/>
  <c r="A110" i="4"/>
  <c r="E110" i="4" s="1"/>
  <c r="A109" i="4"/>
  <c r="E109" i="4" s="1"/>
  <c r="A108" i="4"/>
  <c r="E108" i="4" s="1"/>
  <c r="A107" i="4"/>
  <c r="E107" i="4" s="1"/>
  <c r="A106" i="4"/>
  <c r="E106" i="4" s="1"/>
  <c r="A105" i="4"/>
  <c r="E105" i="4" s="1"/>
  <c r="A104" i="4"/>
  <c r="E104" i="4" s="1"/>
  <c r="A103" i="4"/>
  <c r="E103" i="4" s="1"/>
  <c r="A102" i="4"/>
  <c r="E102" i="4" s="1"/>
  <c r="A101" i="4"/>
  <c r="E101" i="4" s="1"/>
  <c r="A100" i="4"/>
  <c r="E100" i="4" s="1"/>
  <c r="A99" i="4"/>
  <c r="E99" i="4" s="1"/>
  <c r="A98" i="4"/>
  <c r="E98" i="4" s="1"/>
  <c r="A97" i="4"/>
  <c r="E97" i="4" s="1"/>
  <c r="A96" i="4"/>
  <c r="E96" i="4" s="1"/>
  <c r="A95" i="4"/>
  <c r="E95" i="4" s="1"/>
  <c r="A94" i="4"/>
  <c r="E94" i="4" s="1"/>
  <c r="A93" i="4"/>
  <c r="E93" i="4" s="1"/>
  <c r="A92" i="4"/>
  <c r="E92" i="4" s="1"/>
  <c r="A91" i="4"/>
  <c r="E91" i="4" s="1"/>
  <c r="A90" i="4"/>
  <c r="E90" i="4" s="1"/>
  <c r="A89" i="4"/>
  <c r="E89" i="4" s="1"/>
  <c r="A88" i="4"/>
  <c r="E88" i="4" s="1"/>
  <c r="A87" i="4"/>
  <c r="E87" i="4" s="1"/>
  <c r="A86" i="4"/>
  <c r="E86" i="4" s="1"/>
  <c r="A85" i="4"/>
  <c r="E85" i="4" s="1"/>
  <c r="A84" i="4"/>
  <c r="E84" i="4" s="1"/>
  <c r="A83" i="4"/>
  <c r="E83" i="4" s="1"/>
  <c r="A82" i="4"/>
  <c r="E82" i="4" s="1"/>
  <c r="A81" i="4"/>
  <c r="E81" i="4" s="1"/>
  <c r="A80" i="4"/>
  <c r="E80" i="4" s="1"/>
  <c r="A79" i="4"/>
  <c r="E79" i="4" s="1"/>
  <c r="A78" i="4"/>
  <c r="E78" i="4" s="1"/>
  <c r="A77" i="4"/>
  <c r="E77" i="4" s="1"/>
  <c r="A76" i="4"/>
  <c r="E76" i="4" s="1"/>
  <c r="A75" i="4"/>
  <c r="E75" i="4" s="1"/>
  <c r="A74" i="4"/>
  <c r="E74" i="4" s="1"/>
  <c r="A73" i="4"/>
  <c r="E73" i="4" s="1"/>
  <c r="A72" i="4"/>
  <c r="E72" i="4" s="1"/>
  <c r="A71" i="4"/>
  <c r="E71" i="4" s="1"/>
  <c r="A70" i="4"/>
  <c r="E70" i="4" s="1"/>
  <c r="A69" i="4"/>
  <c r="E69" i="4" s="1"/>
  <c r="A68" i="4"/>
  <c r="E68" i="4" s="1"/>
  <c r="A67" i="4"/>
  <c r="E67" i="4" s="1"/>
  <c r="A66" i="4"/>
  <c r="E66" i="4" s="1"/>
  <c r="A65" i="4"/>
  <c r="E65" i="4" s="1"/>
  <c r="A64" i="4"/>
  <c r="E64" i="4" s="1"/>
  <c r="A63" i="4"/>
  <c r="E63" i="4" s="1"/>
  <c r="A62" i="4"/>
  <c r="E62" i="4" s="1"/>
  <c r="A61" i="4"/>
  <c r="E61" i="4" s="1"/>
  <c r="A60" i="4"/>
  <c r="E60" i="4" s="1"/>
  <c r="A59" i="4"/>
  <c r="E59" i="4" s="1"/>
  <c r="A58" i="4"/>
  <c r="E58" i="4" s="1"/>
  <c r="A57" i="4"/>
  <c r="E57" i="4" s="1"/>
  <c r="A56" i="4"/>
  <c r="E56" i="4" s="1"/>
  <c r="A55" i="4"/>
  <c r="E55" i="4" s="1"/>
  <c r="A54" i="4"/>
  <c r="E54" i="4" s="1"/>
  <c r="A53" i="4"/>
  <c r="E53" i="4" s="1"/>
  <c r="A52" i="4"/>
  <c r="E52" i="4" s="1"/>
  <c r="A51" i="4"/>
  <c r="E51" i="4" s="1"/>
  <c r="A50" i="4"/>
  <c r="E50" i="4" s="1"/>
  <c r="A49" i="4"/>
  <c r="E49" i="4" s="1"/>
  <c r="A48" i="4"/>
  <c r="E48" i="4" s="1"/>
  <c r="A47" i="4"/>
  <c r="E47" i="4" s="1"/>
  <c r="A46" i="4"/>
  <c r="E46" i="4" s="1"/>
  <c r="A45" i="4"/>
  <c r="E45" i="4" s="1"/>
  <c r="A44" i="4"/>
  <c r="E44" i="4" s="1"/>
  <c r="A43" i="4"/>
  <c r="E43" i="4" s="1"/>
  <c r="A42" i="4"/>
  <c r="E42" i="4" s="1"/>
  <c r="A41" i="4"/>
  <c r="E41" i="4" s="1"/>
  <c r="A40" i="4"/>
  <c r="E40" i="4" s="1"/>
  <c r="A39" i="4"/>
  <c r="E39" i="4" s="1"/>
  <c r="A38" i="4"/>
  <c r="E38" i="4" s="1"/>
  <c r="A37" i="4"/>
  <c r="E37" i="4" s="1"/>
  <c r="A36" i="4"/>
  <c r="E36" i="4" s="1"/>
  <c r="A35" i="4"/>
  <c r="E35" i="4" s="1"/>
  <c r="A34" i="4"/>
  <c r="E34" i="4" s="1"/>
  <c r="A33" i="4"/>
  <c r="E33" i="4" s="1"/>
  <c r="A32" i="4"/>
  <c r="E32" i="4" s="1"/>
  <c r="A31" i="4"/>
  <c r="E31" i="4" s="1"/>
  <c r="A30" i="4"/>
  <c r="E30" i="4" s="1"/>
  <c r="A29" i="4"/>
  <c r="E29" i="4" s="1"/>
  <c r="A28" i="4"/>
  <c r="E28" i="4" s="1"/>
  <c r="A27" i="4"/>
  <c r="E27" i="4" s="1"/>
  <c r="A26" i="4"/>
  <c r="E26" i="4" s="1"/>
  <c r="A25" i="4"/>
  <c r="E25" i="4" s="1"/>
  <c r="A24" i="4"/>
  <c r="E24" i="4" s="1"/>
  <c r="A23" i="4"/>
  <c r="E23" i="4" s="1"/>
  <c r="A22" i="4"/>
  <c r="E22" i="4" s="1"/>
  <c r="A21" i="4"/>
  <c r="E21" i="4" s="1"/>
  <c r="A20" i="4"/>
  <c r="E20" i="4" s="1"/>
  <c r="A19" i="4"/>
  <c r="E19" i="4" s="1"/>
  <c r="A18" i="4"/>
  <c r="E18" i="4" s="1"/>
  <c r="A17" i="4"/>
  <c r="E17" i="4" s="1"/>
  <c r="A16" i="4"/>
  <c r="E16" i="4" s="1"/>
  <c r="A15" i="4"/>
  <c r="E15" i="4" s="1"/>
  <c r="A14" i="4"/>
  <c r="E14" i="4" s="1"/>
  <c r="A13" i="4"/>
  <c r="E13" i="4" s="1"/>
  <c r="A12" i="4"/>
  <c r="E12" i="4" s="1"/>
  <c r="A11" i="4"/>
  <c r="E11" i="4" s="1"/>
  <c r="A10" i="4"/>
  <c r="E10" i="4" s="1"/>
  <c r="A9" i="4"/>
  <c r="E9" i="4" s="1"/>
  <c r="A8" i="4"/>
  <c r="E8" i="4" s="1"/>
  <c r="A7" i="4"/>
  <c r="E7" i="4" s="1"/>
  <c r="A6" i="4"/>
  <c r="E6" i="4" s="1"/>
  <c r="A5" i="4"/>
  <c r="E5" i="4" s="1"/>
  <c r="A4" i="4"/>
  <c r="E4" i="4" s="1"/>
  <c r="A3" i="4"/>
  <c r="E3" i="4" s="1"/>
  <c r="A2" i="4"/>
  <c r="E2" i="4" s="1"/>
  <c r="H260" i="3"/>
  <c r="I260" i="4" s="1"/>
  <c r="H259" i="3"/>
  <c r="I259" i="4" s="1"/>
  <c r="H258" i="3"/>
  <c r="I258" i="4" s="1"/>
  <c r="H257" i="3"/>
  <c r="I257" i="4" s="1"/>
  <c r="H256" i="3"/>
  <c r="I256" i="4" s="1"/>
  <c r="H255" i="3"/>
  <c r="I255" i="4" s="1"/>
  <c r="H254" i="3"/>
  <c r="I254" i="4" s="1"/>
  <c r="H253" i="3"/>
  <c r="I253" i="4" s="1"/>
  <c r="H252" i="3"/>
  <c r="I252" i="4" s="1"/>
  <c r="H251" i="3"/>
  <c r="I251" i="4" s="1"/>
  <c r="H250" i="3"/>
  <c r="I250" i="4" s="1"/>
  <c r="H249" i="3"/>
  <c r="I249" i="4" s="1"/>
  <c r="H248" i="3"/>
  <c r="I248" i="4" s="1"/>
  <c r="H247" i="3"/>
  <c r="I247" i="4" s="1"/>
  <c r="H246" i="3"/>
  <c r="I246" i="4" s="1"/>
  <c r="H245" i="3"/>
  <c r="I245" i="4" s="1"/>
  <c r="H244" i="3"/>
  <c r="I244" i="4" s="1"/>
  <c r="H243" i="3"/>
  <c r="I243" i="4" s="1"/>
  <c r="H242" i="3"/>
  <c r="I242" i="4" s="1"/>
  <c r="H241" i="3"/>
  <c r="I241" i="4" s="1"/>
  <c r="H240" i="3"/>
  <c r="I240" i="4" s="1"/>
  <c r="H239" i="3"/>
  <c r="I239" i="4" s="1"/>
  <c r="H238" i="3"/>
  <c r="I238" i="4" s="1"/>
  <c r="H237" i="3"/>
  <c r="I237" i="4" s="1"/>
  <c r="H236" i="3"/>
  <c r="I236" i="4" s="1"/>
  <c r="H235" i="3"/>
  <c r="I235" i="4" s="1"/>
  <c r="H234" i="3"/>
  <c r="I234" i="4" s="1"/>
  <c r="H233" i="3"/>
  <c r="I233" i="4" s="1"/>
  <c r="H232" i="3"/>
  <c r="I232" i="4" s="1"/>
  <c r="H231" i="3"/>
  <c r="I231" i="4" s="1"/>
  <c r="H230" i="3"/>
  <c r="I230" i="4" s="1"/>
  <c r="H229" i="3"/>
  <c r="I229" i="4" s="1"/>
  <c r="H228" i="3"/>
  <c r="I228" i="4" s="1"/>
  <c r="H227" i="3"/>
  <c r="I227" i="4" s="1"/>
  <c r="H226" i="3"/>
  <c r="I226" i="4" s="1"/>
  <c r="H225" i="3"/>
  <c r="I225" i="4" s="1"/>
  <c r="H224" i="3"/>
  <c r="I224" i="4" s="1"/>
  <c r="H223" i="3"/>
  <c r="I223" i="4" s="1"/>
  <c r="H222" i="3"/>
  <c r="I222" i="4" s="1"/>
  <c r="H221" i="3"/>
  <c r="I221" i="4" s="1"/>
  <c r="H220" i="3"/>
  <c r="I220" i="4" s="1"/>
  <c r="H219" i="3"/>
  <c r="I219" i="4" s="1"/>
  <c r="H218" i="3"/>
  <c r="I218" i="4" s="1"/>
  <c r="H217" i="3"/>
  <c r="I217" i="4" s="1"/>
  <c r="H216" i="3"/>
  <c r="I216" i="4" s="1"/>
  <c r="H215" i="3"/>
  <c r="I215" i="4" s="1"/>
  <c r="H214" i="3"/>
  <c r="I214" i="4" s="1"/>
  <c r="H213" i="3"/>
  <c r="I213" i="4" s="1"/>
  <c r="H212" i="3"/>
  <c r="I212" i="4" s="1"/>
  <c r="H211" i="3"/>
  <c r="I211" i="4" s="1"/>
  <c r="H210" i="3"/>
  <c r="I210" i="4" s="1"/>
  <c r="H209" i="3"/>
  <c r="I209" i="4" s="1"/>
  <c r="H208" i="3"/>
  <c r="I208" i="4" s="1"/>
  <c r="H207" i="3"/>
  <c r="I207" i="4" s="1"/>
  <c r="H206" i="3"/>
  <c r="I206" i="4" s="1"/>
  <c r="H205" i="3"/>
  <c r="I205" i="4" s="1"/>
  <c r="H204" i="3"/>
  <c r="I204" i="4" s="1"/>
  <c r="H203" i="3"/>
  <c r="I203" i="4" s="1"/>
  <c r="H202" i="3"/>
  <c r="I202" i="4" s="1"/>
  <c r="H201" i="3"/>
  <c r="I201" i="4" s="1"/>
  <c r="H200" i="3"/>
  <c r="I200" i="4" s="1"/>
  <c r="H199" i="3"/>
  <c r="I199" i="4" s="1"/>
  <c r="H198" i="3"/>
  <c r="I198" i="4" s="1"/>
  <c r="H197" i="3"/>
  <c r="I197" i="4" s="1"/>
  <c r="H196" i="3"/>
  <c r="I196" i="4" s="1"/>
  <c r="H195" i="3"/>
  <c r="I195" i="4" s="1"/>
  <c r="H194" i="3"/>
  <c r="I194" i="4" s="1"/>
  <c r="H193" i="3"/>
  <c r="I193" i="4" s="1"/>
  <c r="H192" i="3"/>
  <c r="I192" i="4" s="1"/>
  <c r="H191" i="3"/>
  <c r="I191" i="4" s="1"/>
  <c r="H190" i="3"/>
  <c r="I190" i="4" s="1"/>
  <c r="H189" i="3"/>
  <c r="I189" i="4" s="1"/>
  <c r="H188" i="3"/>
  <c r="I188" i="4" s="1"/>
  <c r="H187" i="3"/>
  <c r="I187" i="4" s="1"/>
  <c r="H186" i="3"/>
  <c r="I186" i="4" s="1"/>
  <c r="H185" i="3"/>
  <c r="I185" i="4" s="1"/>
  <c r="H184" i="3"/>
  <c r="I184" i="4" s="1"/>
  <c r="H183" i="3"/>
  <c r="I183" i="4" s="1"/>
  <c r="H182" i="3"/>
  <c r="I182" i="4" s="1"/>
  <c r="H181" i="3"/>
  <c r="I181" i="4" s="1"/>
  <c r="H180" i="3"/>
  <c r="I180" i="4" s="1"/>
  <c r="H179" i="3"/>
  <c r="I179" i="4" s="1"/>
  <c r="H178" i="3"/>
  <c r="I178" i="4" s="1"/>
  <c r="H177" i="3"/>
  <c r="I177" i="4" s="1"/>
  <c r="H176" i="3"/>
  <c r="I176" i="4" s="1"/>
  <c r="H175" i="3"/>
  <c r="I175" i="4" s="1"/>
  <c r="H174" i="3"/>
  <c r="I174" i="4" s="1"/>
  <c r="H173" i="3"/>
  <c r="I173" i="4" s="1"/>
  <c r="H172" i="3"/>
  <c r="I172" i="4" s="1"/>
  <c r="H171" i="3"/>
  <c r="I171" i="4" s="1"/>
  <c r="H170" i="3"/>
  <c r="I170" i="4" s="1"/>
  <c r="H169" i="3"/>
  <c r="I169" i="4" s="1"/>
  <c r="H168" i="3"/>
  <c r="I168" i="4" s="1"/>
  <c r="H167" i="3"/>
  <c r="I167" i="4" s="1"/>
  <c r="H166" i="3"/>
  <c r="I166" i="4" s="1"/>
  <c r="H165" i="3"/>
  <c r="I165" i="4" s="1"/>
  <c r="H164" i="3"/>
  <c r="I164" i="4" s="1"/>
  <c r="H163" i="3"/>
  <c r="I163" i="4" s="1"/>
  <c r="H162" i="3"/>
  <c r="I162" i="4" s="1"/>
  <c r="H161" i="3"/>
  <c r="I161" i="4" s="1"/>
  <c r="H160" i="3"/>
  <c r="I160" i="4" s="1"/>
  <c r="H159" i="3"/>
  <c r="I159" i="4" s="1"/>
  <c r="H158" i="3"/>
  <c r="I158" i="4" s="1"/>
  <c r="H157" i="3"/>
  <c r="I157" i="4" s="1"/>
  <c r="H156" i="3"/>
  <c r="I156" i="4" s="1"/>
  <c r="H155" i="3"/>
  <c r="I155" i="4" s="1"/>
  <c r="H154" i="3"/>
  <c r="I154" i="4" s="1"/>
  <c r="H153" i="3"/>
  <c r="I153" i="4" s="1"/>
  <c r="H152" i="3"/>
  <c r="I152" i="4" s="1"/>
  <c r="H151" i="3"/>
  <c r="I151" i="4" s="1"/>
  <c r="H150" i="3"/>
  <c r="I150" i="4" s="1"/>
  <c r="H149" i="3"/>
  <c r="I149" i="4" s="1"/>
  <c r="H148" i="3"/>
  <c r="I148" i="4" s="1"/>
  <c r="H147" i="3"/>
  <c r="I147" i="4" s="1"/>
  <c r="H146" i="3"/>
  <c r="I146" i="4" s="1"/>
  <c r="H145" i="3"/>
  <c r="I145" i="4" s="1"/>
  <c r="H144" i="3"/>
  <c r="I144" i="4" s="1"/>
  <c r="H143" i="3"/>
  <c r="I143" i="4" s="1"/>
  <c r="H142" i="3"/>
  <c r="I142" i="4" s="1"/>
  <c r="H141" i="3"/>
  <c r="I141" i="4" s="1"/>
  <c r="H140" i="3"/>
  <c r="I140" i="4" s="1"/>
  <c r="H139" i="3"/>
  <c r="I139" i="4" s="1"/>
  <c r="H138" i="3"/>
  <c r="I138" i="4" s="1"/>
  <c r="H137" i="3"/>
  <c r="I137" i="4" s="1"/>
  <c r="H136" i="3"/>
  <c r="I136" i="4" s="1"/>
  <c r="H135" i="3"/>
  <c r="I135" i="4" s="1"/>
  <c r="H134" i="3"/>
  <c r="I134" i="4" s="1"/>
  <c r="H133" i="3"/>
  <c r="I133" i="4" s="1"/>
  <c r="H132" i="3"/>
  <c r="I132" i="4" s="1"/>
  <c r="H131" i="3"/>
  <c r="I131" i="4" s="1"/>
  <c r="H130" i="3"/>
  <c r="I130" i="4" s="1"/>
  <c r="H129" i="3"/>
  <c r="I129" i="4" s="1"/>
  <c r="H128" i="3"/>
  <c r="I128" i="4" s="1"/>
  <c r="H127" i="3"/>
  <c r="I127" i="4" s="1"/>
  <c r="H126" i="3"/>
  <c r="I126" i="4" s="1"/>
  <c r="H125" i="3"/>
  <c r="I125" i="4" s="1"/>
  <c r="H124" i="3"/>
  <c r="I124" i="4" s="1"/>
  <c r="H123" i="3"/>
  <c r="I123" i="4" s="1"/>
  <c r="H122" i="3"/>
  <c r="I122" i="4" s="1"/>
  <c r="H121" i="3"/>
  <c r="I121" i="4" s="1"/>
  <c r="H120" i="3"/>
  <c r="I120" i="4" s="1"/>
  <c r="H119" i="3"/>
  <c r="I119" i="4" s="1"/>
  <c r="H118" i="3"/>
  <c r="I118" i="4" s="1"/>
  <c r="H117" i="3"/>
  <c r="I117" i="4" s="1"/>
  <c r="H116" i="3"/>
  <c r="I116" i="4" s="1"/>
  <c r="H115" i="3"/>
  <c r="I115" i="4" s="1"/>
  <c r="H114" i="3"/>
  <c r="I114" i="4" s="1"/>
  <c r="H113" i="3"/>
  <c r="I113" i="4" s="1"/>
  <c r="H112" i="3"/>
  <c r="I112" i="4" s="1"/>
  <c r="H111" i="3"/>
  <c r="I111" i="4" s="1"/>
  <c r="H110" i="3"/>
  <c r="I110" i="4" s="1"/>
  <c r="H109" i="3"/>
  <c r="I109" i="4" s="1"/>
  <c r="H108" i="3"/>
  <c r="I108" i="4" s="1"/>
  <c r="H107" i="3"/>
  <c r="I107" i="4" s="1"/>
  <c r="H106" i="3"/>
  <c r="I106" i="4" s="1"/>
  <c r="H105" i="3"/>
  <c r="I105" i="4" s="1"/>
  <c r="H104" i="3"/>
  <c r="I104" i="4" s="1"/>
  <c r="H103" i="3"/>
  <c r="I103" i="4" s="1"/>
  <c r="H102" i="3"/>
  <c r="I102" i="4" s="1"/>
  <c r="H101" i="3"/>
  <c r="I101" i="4" s="1"/>
  <c r="H100" i="3"/>
  <c r="I100" i="4" s="1"/>
  <c r="H99" i="3"/>
  <c r="I99" i="4" s="1"/>
  <c r="H98" i="3"/>
  <c r="I98" i="4" s="1"/>
  <c r="H97" i="3"/>
  <c r="I97" i="4" s="1"/>
  <c r="H96" i="3"/>
  <c r="I96" i="4" s="1"/>
  <c r="H95" i="3"/>
  <c r="I95" i="4" s="1"/>
  <c r="H94" i="3"/>
  <c r="I94" i="4" s="1"/>
  <c r="H93" i="3"/>
  <c r="I93" i="4" s="1"/>
  <c r="H92" i="3"/>
  <c r="I92" i="4" s="1"/>
  <c r="H91" i="3"/>
  <c r="I91" i="4" s="1"/>
  <c r="H90" i="3"/>
  <c r="I90" i="4" s="1"/>
  <c r="H89" i="3"/>
  <c r="I89" i="4" s="1"/>
  <c r="H88" i="3"/>
  <c r="I88" i="4" s="1"/>
  <c r="H87" i="3"/>
  <c r="I87" i="4" s="1"/>
  <c r="H86" i="3"/>
  <c r="I86" i="4" s="1"/>
  <c r="H85" i="3"/>
  <c r="I85" i="4" s="1"/>
  <c r="H84" i="3"/>
  <c r="I84" i="4" s="1"/>
  <c r="H83" i="3"/>
  <c r="I83" i="4" s="1"/>
  <c r="H82" i="3"/>
  <c r="I82" i="4" s="1"/>
  <c r="H81" i="3"/>
  <c r="I81" i="4" s="1"/>
  <c r="H80" i="3"/>
  <c r="I80" i="4" s="1"/>
  <c r="H79" i="3"/>
  <c r="I79" i="4" s="1"/>
  <c r="H78" i="3"/>
  <c r="I78" i="4" s="1"/>
  <c r="H77" i="3"/>
  <c r="I77" i="4" s="1"/>
  <c r="H76" i="3"/>
  <c r="I76" i="4" s="1"/>
  <c r="H75" i="3"/>
  <c r="I75" i="4" s="1"/>
  <c r="H74" i="3"/>
  <c r="I74" i="4" s="1"/>
  <c r="H73" i="3"/>
  <c r="I73" i="4" s="1"/>
  <c r="H72" i="3"/>
  <c r="I72" i="4" s="1"/>
  <c r="H71" i="3"/>
  <c r="I71" i="4" s="1"/>
  <c r="H70" i="3"/>
  <c r="I70" i="4" s="1"/>
  <c r="H69" i="3"/>
  <c r="I69" i="4" s="1"/>
  <c r="H68" i="3"/>
  <c r="I68" i="4" s="1"/>
  <c r="H67" i="3"/>
  <c r="I67" i="4" s="1"/>
  <c r="H66" i="3"/>
  <c r="I66" i="4" s="1"/>
  <c r="H65" i="3"/>
  <c r="I65" i="4" s="1"/>
  <c r="H64" i="3"/>
  <c r="I64" i="4" s="1"/>
  <c r="H63" i="3"/>
  <c r="I63" i="4" s="1"/>
  <c r="H62" i="3"/>
  <c r="I62" i="4" s="1"/>
  <c r="H61" i="3"/>
  <c r="I61" i="4" s="1"/>
  <c r="H60" i="3"/>
  <c r="I60" i="4" s="1"/>
  <c r="H59" i="3"/>
  <c r="I59" i="4" s="1"/>
  <c r="H58" i="3"/>
  <c r="I58" i="4" s="1"/>
  <c r="H57" i="3"/>
  <c r="I57" i="4" s="1"/>
  <c r="H56" i="3"/>
  <c r="I56" i="4" s="1"/>
  <c r="H55" i="3"/>
  <c r="I55" i="4" s="1"/>
  <c r="H54" i="3"/>
  <c r="I54" i="4" s="1"/>
  <c r="H53" i="3"/>
  <c r="I53" i="4" s="1"/>
  <c r="H52" i="3"/>
  <c r="I52" i="4" s="1"/>
  <c r="H51" i="3"/>
  <c r="I51" i="4" s="1"/>
  <c r="H50" i="3"/>
  <c r="I50" i="4" s="1"/>
  <c r="H49" i="3"/>
  <c r="I49" i="4" s="1"/>
  <c r="H48" i="3"/>
  <c r="I48" i="4" s="1"/>
  <c r="H47" i="3"/>
  <c r="I47" i="4" s="1"/>
  <c r="H46" i="3"/>
  <c r="I46" i="4" s="1"/>
  <c r="H45" i="3"/>
  <c r="I45" i="4" s="1"/>
  <c r="H44" i="3"/>
  <c r="I44" i="4" s="1"/>
  <c r="H43" i="3"/>
  <c r="I43" i="4" s="1"/>
  <c r="H42" i="3"/>
  <c r="I42" i="4" s="1"/>
  <c r="K42" i="4" s="1"/>
  <c r="H41" i="3"/>
  <c r="I41" i="4" s="1"/>
  <c r="H40" i="3"/>
  <c r="I40" i="4" s="1"/>
  <c r="H39" i="3"/>
  <c r="I39" i="4" s="1"/>
  <c r="H38" i="3"/>
  <c r="I38" i="4" s="1"/>
  <c r="H37" i="3"/>
  <c r="I37" i="4" s="1"/>
  <c r="H36" i="3"/>
  <c r="I36" i="4" s="1"/>
  <c r="H35" i="3"/>
  <c r="I35" i="4" s="1"/>
  <c r="H34" i="3"/>
  <c r="I34" i="4" s="1"/>
  <c r="K34" i="4" s="1"/>
  <c r="H33" i="3"/>
  <c r="I33" i="4" s="1"/>
  <c r="H32" i="3"/>
  <c r="I32" i="4" s="1"/>
  <c r="H31" i="3"/>
  <c r="I31" i="4" s="1"/>
  <c r="H30" i="3"/>
  <c r="I30" i="4" s="1"/>
  <c r="H29" i="3"/>
  <c r="I29" i="4" s="1"/>
  <c r="H28" i="3"/>
  <c r="I28" i="4" s="1"/>
  <c r="H27" i="3"/>
  <c r="I27" i="4" s="1"/>
  <c r="H26" i="3"/>
  <c r="I26" i="4" s="1"/>
  <c r="H25" i="3"/>
  <c r="I25" i="4" s="1"/>
  <c r="H24" i="3"/>
  <c r="I24" i="4" s="1"/>
  <c r="H23" i="3"/>
  <c r="I23" i="4" s="1"/>
  <c r="H22" i="3"/>
  <c r="I22" i="4" s="1"/>
  <c r="H21" i="3"/>
  <c r="I21" i="4" s="1"/>
  <c r="H20" i="3"/>
  <c r="I20" i="4" s="1"/>
  <c r="H19" i="3"/>
  <c r="I19" i="4" s="1"/>
  <c r="H18" i="3"/>
  <c r="I18" i="4" s="1"/>
  <c r="H17" i="3"/>
  <c r="I17" i="4" s="1"/>
  <c r="H16" i="3"/>
  <c r="I16" i="4" s="1"/>
  <c r="H15" i="3"/>
  <c r="I15" i="4" s="1"/>
  <c r="H14" i="3"/>
  <c r="I14" i="4" s="1"/>
  <c r="H13" i="3"/>
  <c r="I13" i="4" s="1"/>
  <c r="H12" i="3"/>
  <c r="I12" i="4" s="1"/>
  <c r="H11" i="3"/>
  <c r="I11" i="4" s="1"/>
  <c r="H10" i="3"/>
  <c r="I10" i="4" s="1"/>
  <c r="H9" i="3"/>
  <c r="I9" i="4" s="1"/>
  <c r="H8" i="3"/>
  <c r="I8" i="4" s="1"/>
  <c r="H7" i="3"/>
  <c r="I7" i="4" s="1"/>
  <c r="H6" i="3"/>
  <c r="I6" i="4" s="1"/>
  <c r="H5" i="3"/>
  <c r="I5" i="4" s="1"/>
  <c r="H4" i="3"/>
  <c r="I4" i="4" s="1"/>
  <c r="H3" i="3"/>
  <c r="I3" i="4" s="1"/>
  <c r="H2" i="3"/>
  <c r="I2" i="4" s="1"/>
  <c r="K67" i="4" l="1"/>
  <c r="K51" i="4"/>
  <c r="K2" i="4"/>
  <c r="K38" i="4"/>
  <c r="K30" i="4"/>
  <c r="K26" i="4"/>
  <c r="K4" i="4"/>
  <c r="K12" i="4"/>
  <c r="K78" i="4"/>
  <c r="K86" i="4"/>
  <c r="K94" i="4"/>
  <c r="K102" i="4"/>
  <c r="K110" i="4"/>
  <c r="K118" i="4"/>
  <c r="K126" i="4"/>
  <c r="K134" i="4"/>
  <c r="K142" i="4"/>
  <c r="K150" i="4"/>
  <c r="K158" i="4"/>
  <c r="K166" i="4"/>
  <c r="K174" i="4"/>
  <c r="K182" i="4"/>
  <c r="K190" i="4"/>
  <c r="K198" i="4"/>
  <c r="K206" i="4"/>
  <c r="K214" i="4"/>
  <c r="K222" i="4"/>
  <c r="K230" i="4"/>
  <c r="K238" i="4"/>
  <c r="K246" i="4"/>
  <c r="K254" i="4"/>
  <c r="F8" i="4"/>
  <c r="F24" i="4"/>
  <c r="F40" i="4"/>
  <c r="K72" i="4"/>
  <c r="K21" i="4"/>
  <c r="F56" i="4"/>
  <c r="F72" i="4"/>
  <c r="F88" i="4"/>
  <c r="F104" i="4"/>
  <c r="F152" i="4"/>
  <c r="F192" i="4"/>
  <c r="K10" i="4"/>
  <c r="K18" i="4"/>
  <c r="K84" i="4"/>
  <c r="K92" i="4"/>
  <c r="K100" i="4"/>
  <c r="K108" i="4"/>
  <c r="K116" i="4"/>
  <c r="K124" i="4"/>
  <c r="K132" i="4"/>
  <c r="K140" i="4"/>
  <c r="K148" i="4"/>
  <c r="K156" i="4"/>
  <c r="K164" i="4"/>
  <c r="K172" i="4"/>
  <c r="K180" i="4"/>
  <c r="K188" i="4"/>
  <c r="K196" i="4"/>
  <c r="K204" i="4"/>
  <c r="K212" i="4"/>
  <c r="K220" i="4"/>
  <c r="K228" i="4"/>
  <c r="K236" i="4"/>
  <c r="K244" i="4"/>
  <c r="K252" i="4"/>
  <c r="K260" i="4"/>
  <c r="K69" i="4"/>
  <c r="K24" i="4"/>
  <c r="K9" i="4"/>
  <c r="K17" i="4"/>
  <c r="K83" i="4"/>
  <c r="K91" i="4"/>
  <c r="K99" i="4"/>
  <c r="K107" i="4"/>
  <c r="K115" i="4"/>
  <c r="K123" i="4"/>
  <c r="K131" i="4"/>
  <c r="K139" i="4"/>
  <c r="K147" i="4"/>
  <c r="K155" i="4"/>
  <c r="K163" i="4"/>
  <c r="K171" i="4"/>
  <c r="K179" i="4"/>
  <c r="K187" i="4"/>
  <c r="K195" i="4"/>
  <c r="K203" i="4"/>
  <c r="K211" i="4"/>
  <c r="K219" i="4"/>
  <c r="K227" i="4"/>
  <c r="K235" i="4"/>
  <c r="K243" i="4"/>
  <c r="K251" i="4"/>
  <c r="K259" i="4"/>
  <c r="K75" i="4"/>
  <c r="K74" i="4"/>
  <c r="K82" i="4"/>
  <c r="K64" i="4"/>
  <c r="K60" i="4"/>
  <c r="K48" i="4"/>
  <c r="F136" i="4"/>
  <c r="K73" i="4"/>
  <c r="K66" i="4"/>
  <c r="K59" i="4"/>
  <c r="K76" i="4"/>
  <c r="K40" i="4"/>
  <c r="K32" i="4"/>
  <c r="F10" i="4"/>
  <c r="F26" i="4"/>
  <c r="F42" i="4"/>
  <c r="F58" i="4"/>
  <c r="F74" i="4"/>
  <c r="F90" i="4"/>
  <c r="F106" i="4"/>
  <c r="F122" i="4"/>
  <c r="F138" i="4"/>
  <c r="F154" i="4"/>
  <c r="K58" i="4"/>
  <c r="K43" i="4"/>
  <c r="K61" i="4"/>
  <c r="K35" i="4"/>
  <c r="K31" i="4"/>
  <c r="K23" i="4"/>
  <c r="K36" i="4"/>
  <c r="K56" i="4"/>
  <c r="F102" i="4"/>
  <c r="F110" i="4"/>
  <c r="F118" i="4"/>
  <c r="F126" i="4"/>
  <c r="F134" i="4"/>
  <c r="F142" i="4"/>
  <c r="F150" i="4"/>
  <c r="F158" i="4"/>
  <c r="F166" i="4"/>
  <c r="F174" i="4"/>
  <c r="F182" i="4"/>
  <c r="F190" i="4"/>
  <c r="F198" i="4"/>
  <c r="F206" i="4"/>
  <c r="F214" i="4"/>
  <c r="F222" i="4"/>
  <c r="F230" i="4"/>
  <c r="F238" i="4"/>
  <c r="F246" i="4"/>
  <c r="F254" i="4"/>
  <c r="K52" i="4"/>
  <c r="K45" i="4"/>
  <c r="F173" i="4"/>
  <c r="F197" i="4"/>
  <c r="F245" i="4"/>
  <c r="F253" i="4"/>
  <c r="K41" i="4"/>
  <c r="K37" i="4"/>
  <c r="K29" i="4"/>
  <c r="K25" i="4"/>
  <c r="F120" i="4"/>
  <c r="K68" i="4"/>
  <c r="K62" i="4"/>
  <c r="K44" i="4"/>
  <c r="K28" i="4"/>
  <c r="K6" i="4"/>
  <c r="K14" i="4"/>
  <c r="K80" i="4"/>
  <c r="K88" i="4"/>
  <c r="K96" i="4"/>
  <c r="K104" i="4"/>
  <c r="K112" i="4"/>
  <c r="K120" i="4"/>
  <c r="K128" i="4"/>
  <c r="K136" i="4"/>
  <c r="K144" i="4"/>
  <c r="K152" i="4"/>
  <c r="K160" i="4"/>
  <c r="K168" i="4"/>
  <c r="K176" i="4"/>
  <c r="K184" i="4"/>
  <c r="K192" i="4"/>
  <c r="K200" i="4"/>
  <c r="K208" i="4"/>
  <c r="K216" i="4"/>
  <c r="K224" i="4"/>
  <c r="K232" i="4"/>
  <c r="K240" i="4"/>
  <c r="K248" i="4"/>
  <c r="K256" i="4"/>
  <c r="K77" i="4"/>
  <c r="K50" i="4"/>
  <c r="K39" i="4"/>
  <c r="K27" i="4"/>
  <c r="K20" i="4"/>
  <c r="K8" i="4"/>
  <c r="K16" i="4"/>
  <c r="K90" i="4"/>
  <c r="K98" i="4"/>
  <c r="K106" i="4"/>
  <c r="K114" i="4"/>
  <c r="K122" i="4"/>
  <c r="K130" i="4"/>
  <c r="K138" i="4"/>
  <c r="K146" i="4"/>
  <c r="K154" i="4"/>
  <c r="K162" i="4"/>
  <c r="K170" i="4"/>
  <c r="K178" i="4"/>
  <c r="K186" i="4"/>
  <c r="K194" i="4"/>
  <c r="K202" i="4"/>
  <c r="K210" i="4"/>
  <c r="K218" i="4"/>
  <c r="K226" i="4"/>
  <c r="K234" i="4"/>
  <c r="K242" i="4"/>
  <c r="K250" i="4"/>
  <c r="K258" i="4"/>
  <c r="K53" i="4"/>
  <c r="K46" i="4"/>
  <c r="F101" i="4"/>
  <c r="F125" i="4"/>
  <c r="F189" i="4"/>
  <c r="F205" i="4"/>
  <c r="F213" i="4"/>
  <c r="F221" i="4"/>
  <c r="F229" i="4"/>
  <c r="F237" i="4"/>
  <c r="K81" i="4"/>
  <c r="K89" i="4"/>
  <c r="K97" i="4"/>
  <c r="K105" i="4"/>
  <c r="K113" i="4"/>
  <c r="K121" i="4"/>
  <c r="K129" i="4"/>
  <c r="K137" i="4"/>
  <c r="K145" i="4"/>
  <c r="K153" i="4"/>
  <c r="K161" i="4"/>
  <c r="K169" i="4"/>
  <c r="K177" i="4"/>
  <c r="K185" i="4"/>
  <c r="K193" i="4"/>
  <c r="K201" i="4"/>
  <c r="K209" i="4"/>
  <c r="K217" i="4"/>
  <c r="K225" i="4"/>
  <c r="K233" i="4"/>
  <c r="K241" i="4"/>
  <c r="K249" i="4"/>
  <c r="K257" i="4"/>
  <c r="K70" i="4"/>
  <c r="K55" i="4"/>
  <c r="K49" i="4"/>
  <c r="F127" i="4"/>
  <c r="F151" i="4"/>
  <c r="F191" i="4"/>
  <c r="K54" i="4"/>
  <c r="K33" i="4"/>
  <c r="F16" i="4"/>
  <c r="F32" i="4"/>
  <c r="F48" i="4"/>
  <c r="F64" i="4"/>
  <c r="F80" i="4"/>
  <c r="F96" i="4"/>
  <c r="F112" i="4"/>
  <c r="F128" i="4"/>
  <c r="F144" i="4"/>
  <c r="F160" i="4"/>
  <c r="F168" i="4"/>
  <c r="F176" i="4"/>
  <c r="F184" i="4"/>
  <c r="F200" i="4"/>
  <c r="K63" i="4"/>
  <c r="K57" i="4"/>
  <c r="K3" i="4"/>
  <c r="K11" i="4"/>
  <c r="K19" i="4"/>
  <c r="K85" i="4"/>
  <c r="K93" i="4"/>
  <c r="K101" i="4"/>
  <c r="K109" i="4"/>
  <c r="K117" i="4"/>
  <c r="K125" i="4"/>
  <c r="K133" i="4"/>
  <c r="K141" i="4"/>
  <c r="K149" i="4"/>
  <c r="K157" i="4"/>
  <c r="K165" i="4"/>
  <c r="K173" i="4"/>
  <c r="K181" i="4"/>
  <c r="K189" i="4"/>
  <c r="K197" i="4"/>
  <c r="K205" i="4"/>
  <c r="K213" i="4"/>
  <c r="K221" i="4"/>
  <c r="K229" i="4"/>
  <c r="K237" i="4"/>
  <c r="K245" i="4"/>
  <c r="K253" i="4"/>
  <c r="K47" i="4"/>
  <c r="F114" i="4"/>
  <c r="K5" i="4"/>
  <c r="K13" i="4"/>
  <c r="K71" i="4"/>
  <c r="K65" i="4"/>
  <c r="K22" i="4"/>
  <c r="F7" i="4"/>
  <c r="F15" i="4"/>
  <c r="F23" i="4"/>
  <c r="F31" i="4"/>
  <c r="F39" i="4"/>
  <c r="F47" i="4"/>
  <c r="F55" i="4"/>
  <c r="F63" i="4"/>
  <c r="F71" i="4"/>
  <c r="F79" i="4"/>
  <c r="F87" i="4"/>
  <c r="F95" i="4"/>
  <c r="F103" i="4"/>
  <c r="F111" i="4"/>
  <c r="F119" i="4"/>
  <c r="F135" i="4"/>
  <c r="F143" i="4"/>
  <c r="F159" i="4"/>
  <c r="F167" i="4"/>
  <c r="F175" i="4"/>
  <c r="F183" i="4"/>
  <c r="F18" i="4"/>
  <c r="F34" i="4"/>
  <c r="F50" i="4"/>
  <c r="F66" i="4"/>
  <c r="F82" i="4"/>
  <c r="F98" i="4"/>
  <c r="F130" i="4"/>
  <c r="F146" i="4"/>
  <c r="F5" i="4"/>
  <c r="F13" i="4"/>
  <c r="F21" i="4"/>
  <c r="F29" i="4"/>
  <c r="F37" i="4"/>
  <c r="F45" i="4"/>
  <c r="F53" i="4"/>
  <c r="F61" i="4"/>
  <c r="F69" i="4"/>
  <c r="F77" i="4"/>
  <c r="F85" i="4"/>
  <c r="F93" i="4"/>
  <c r="F109" i="4"/>
  <c r="F117" i="4"/>
  <c r="F133" i="4"/>
  <c r="F141" i="4"/>
  <c r="F149" i="4"/>
  <c r="F157" i="4"/>
  <c r="F165" i="4"/>
  <c r="F181" i="4"/>
  <c r="F14" i="4"/>
  <c r="F70" i="4"/>
  <c r="F231" i="4"/>
  <c r="F38" i="4"/>
  <c r="F86" i="4"/>
  <c r="F223" i="4"/>
  <c r="F208" i="4"/>
  <c r="F216" i="4"/>
  <c r="F224" i="4"/>
  <c r="F232" i="4"/>
  <c r="F240" i="4"/>
  <c r="F248" i="4"/>
  <c r="F256" i="4"/>
  <c r="F54" i="4"/>
  <c r="F199" i="4"/>
  <c r="F239" i="4"/>
  <c r="F9" i="4"/>
  <c r="F17" i="4"/>
  <c r="F25" i="4"/>
  <c r="F33" i="4"/>
  <c r="F41" i="4"/>
  <c r="F49" i="4"/>
  <c r="F57" i="4"/>
  <c r="F65" i="4"/>
  <c r="F73" i="4"/>
  <c r="F81" i="4"/>
  <c r="F89" i="4"/>
  <c r="F97" i="4"/>
  <c r="F105" i="4"/>
  <c r="F113" i="4"/>
  <c r="F121" i="4"/>
  <c r="F129" i="4"/>
  <c r="F137" i="4"/>
  <c r="F145" i="4"/>
  <c r="F153" i="4"/>
  <c r="F161" i="4"/>
  <c r="F169" i="4"/>
  <c r="F177" i="4"/>
  <c r="F185" i="4"/>
  <c r="F193" i="4"/>
  <c r="F201" i="4"/>
  <c r="F209" i="4"/>
  <c r="F217" i="4"/>
  <c r="F225" i="4"/>
  <c r="F233" i="4"/>
  <c r="F241" i="4"/>
  <c r="F249" i="4"/>
  <c r="F257" i="4"/>
  <c r="F6" i="4"/>
  <c r="F62" i="4"/>
  <c r="F207" i="4"/>
  <c r="F247" i="4"/>
  <c r="F162" i="4"/>
  <c r="F170" i="4"/>
  <c r="F178" i="4"/>
  <c r="F186" i="4"/>
  <c r="F194" i="4"/>
  <c r="F202" i="4"/>
  <c r="F210" i="4"/>
  <c r="F218" i="4"/>
  <c r="F226" i="4"/>
  <c r="F234" i="4"/>
  <c r="F242" i="4"/>
  <c r="F250" i="4"/>
  <c r="F258" i="4"/>
  <c r="F22" i="4"/>
  <c r="F94" i="4"/>
  <c r="F215" i="4"/>
  <c r="F255" i="4"/>
  <c r="F3" i="4"/>
  <c r="F11" i="4"/>
  <c r="F19" i="4"/>
  <c r="F27" i="4"/>
  <c r="F35" i="4"/>
  <c r="F43" i="4"/>
  <c r="F51" i="4"/>
  <c r="F59" i="4"/>
  <c r="F67" i="4"/>
  <c r="F75" i="4"/>
  <c r="F83" i="4"/>
  <c r="F91" i="4"/>
  <c r="F99" i="4"/>
  <c r="F107" i="4"/>
  <c r="F115" i="4"/>
  <c r="F123" i="4"/>
  <c r="F131" i="4"/>
  <c r="F139" i="4"/>
  <c r="F147" i="4"/>
  <c r="F155" i="4"/>
  <c r="F163" i="4"/>
  <c r="F171" i="4"/>
  <c r="F179" i="4"/>
  <c r="F187" i="4"/>
  <c r="F195" i="4"/>
  <c r="F203" i="4"/>
  <c r="F211" i="4"/>
  <c r="F219" i="4"/>
  <c r="F227" i="4"/>
  <c r="F235" i="4"/>
  <c r="F243" i="4"/>
  <c r="F251" i="4"/>
  <c r="F259" i="4"/>
  <c r="F30" i="4"/>
  <c r="F78" i="4"/>
  <c r="F4" i="4"/>
  <c r="F12" i="4"/>
  <c r="F20" i="4"/>
  <c r="F28" i="4"/>
  <c r="F36" i="4"/>
  <c r="F44" i="4"/>
  <c r="F52" i="4"/>
  <c r="F60" i="4"/>
  <c r="F68" i="4"/>
  <c r="F76" i="4"/>
  <c r="F84" i="4"/>
  <c r="F92" i="4"/>
  <c r="F100" i="4"/>
  <c r="F108" i="4"/>
  <c r="F116" i="4"/>
  <c r="F124" i="4"/>
  <c r="F132" i="4"/>
  <c r="F140" i="4"/>
  <c r="F148" i="4"/>
  <c r="F156" i="4"/>
  <c r="F164" i="4"/>
  <c r="F172" i="4"/>
  <c r="F180" i="4"/>
  <c r="F188" i="4"/>
  <c r="F196" i="4"/>
  <c r="F204" i="4"/>
  <c r="F212" i="4"/>
  <c r="F220" i="4"/>
  <c r="F228" i="4"/>
  <c r="F236" i="4"/>
  <c r="F244" i="4"/>
  <c r="F252" i="4"/>
  <c r="F260" i="4"/>
  <c r="F46" i="4"/>
  <c r="K7" i="4"/>
  <c r="K15" i="4"/>
  <c r="K79" i="4"/>
  <c r="K87" i="4"/>
  <c r="K95" i="4"/>
  <c r="K103" i="4"/>
  <c r="K111" i="4"/>
  <c r="K119" i="4"/>
  <c r="K127" i="4"/>
  <c r="K135" i="4"/>
  <c r="K143" i="4"/>
  <c r="K151" i="4"/>
  <c r="K159" i="4"/>
  <c r="K167" i="4"/>
  <c r="K175" i="4"/>
  <c r="K183" i="4"/>
  <c r="K191" i="4"/>
  <c r="K199" i="4"/>
  <c r="K207" i="4"/>
  <c r="K215" i="4"/>
  <c r="K223" i="4"/>
  <c r="K231" i="4"/>
  <c r="K239" i="4"/>
  <c r="K247" i="4"/>
  <c r="K255" i="4"/>
  <c r="F2" i="4"/>
  <c r="H252" i="4" l="1"/>
  <c r="Q252" i="4"/>
  <c r="H188" i="4"/>
  <c r="Q188" i="4"/>
  <c r="H124" i="4"/>
  <c r="Q124" i="4"/>
  <c r="H60" i="4"/>
  <c r="Q60" i="4"/>
  <c r="H78" i="4"/>
  <c r="Q78" i="4"/>
  <c r="H211" i="4"/>
  <c r="Q211" i="4"/>
  <c r="H147" i="4"/>
  <c r="Q147" i="4"/>
  <c r="H83" i="4"/>
  <c r="Q83" i="4"/>
  <c r="H19" i="4"/>
  <c r="Q19" i="4"/>
  <c r="H250" i="4"/>
  <c r="Q250" i="4"/>
  <c r="H186" i="4"/>
  <c r="Q186" i="4"/>
  <c r="H257" i="4"/>
  <c r="Q257" i="4"/>
  <c r="H193" i="4"/>
  <c r="Q193" i="4"/>
  <c r="H129" i="4"/>
  <c r="Q129" i="4"/>
  <c r="H65" i="4"/>
  <c r="Q65" i="4"/>
  <c r="H239" i="4"/>
  <c r="Q239" i="4"/>
  <c r="H216" i="4"/>
  <c r="Q216" i="4"/>
  <c r="H181" i="4"/>
  <c r="Q181" i="4"/>
  <c r="H93" i="4"/>
  <c r="Q93" i="4"/>
  <c r="H29" i="4"/>
  <c r="Q29" i="4"/>
  <c r="H66" i="4"/>
  <c r="Q66" i="4"/>
  <c r="H71" i="4"/>
  <c r="Q71" i="4"/>
  <c r="H144" i="4"/>
  <c r="Q144" i="4"/>
  <c r="H246" i="4"/>
  <c r="Q246" i="4"/>
  <c r="H8" i="4"/>
  <c r="Q8" i="4"/>
  <c r="H180" i="4"/>
  <c r="Q180" i="4"/>
  <c r="H116" i="4"/>
  <c r="Q116" i="4"/>
  <c r="H30" i="4"/>
  <c r="Q30" i="4"/>
  <c r="H139" i="4"/>
  <c r="Q139" i="4"/>
  <c r="H11" i="4"/>
  <c r="Q11" i="4"/>
  <c r="H242" i="4"/>
  <c r="Q242" i="4"/>
  <c r="H249" i="4"/>
  <c r="Q249" i="4"/>
  <c r="H121" i="4"/>
  <c r="Q121" i="4"/>
  <c r="H57" i="4"/>
  <c r="Q57" i="4"/>
  <c r="H208" i="4"/>
  <c r="Q208" i="4"/>
  <c r="H85" i="4"/>
  <c r="Q85" i="4"/>
  <c r="H50" i="4"/>
  <c r="Q50" i="4"/>
  <c r="H135" i="4"/>
  <c r="Q135" i="4"/>
  <c r="H128" i="4"/>
  <c r="Q128" i="4"/>
  <c r="H229" i="4"/>
  <c r="Q229" i="4"/>
  <c r="H253" i="4"/>
  <c r="Q253" i="4"/>
  <c r="H174" i="4"/>
  <c r="Q174" i="4"/>
  <c r="H58" i="4"/>
  <c r="Q58" i="4"/>
  <c r="H88" i="4"/>
  <c r="Q88" i="4"/>
  <c r="H236" i="4"/>
  <c r="Q236" i="4"/>
  <c r="H172" i="4"/>
  <c r="Q172" i="4"/>
  <c r="H108" i="4"/>
  <c r="Q108" i="4"/>
  <c r="H44" i="4"/>
  <c r="Q44" i="4"/>
  <c r="H259" i="4"/>
  <c r="Q259" i="4"/>
  <c r="H195" i="4"/>
  <c r="Q195" i="4"/>
  <c r="H131" i="4"/>
  <c r="Q131" i="4"/>
  <c r="H67" i="4"/>
  <c r="Q67" i="4"/>
  <c r="H234" i="4"/>
  <c r="Q234" i="4"/>
  <c r="H241" i="4"/>
  <c r="Q241" i="4"/>
  <c r="H113" i="4"/>
  <c r="Q113" i="4"/>
  <c r="H54" i="4"/>
  <c r="Q54" i="4"/>
  <c r="H157" i="4"/>
  <c r="Q157" i="4"/>
  <c r="H13" i="4"/>
  <c r="Q13" i="4"/>
  <c r="H119" i="4"/>
  <c r="Q119" i="4"/>
  <c r="H55" i="4"/>
  <c r="Q55" i="4"/>
  <c r="H112" i="4"/>
  <c r="Q112" i="4"/>
  <c r="H221" i="4"/>
  <c r="Q221" i="4"/>
  <c r="H230" i="4"/>
  <c r="Q230" i="4"/>
  <c r="H42" i="4"/>
  <c r="Q42" i="4"/>
  <c r="H72" i="4"/>
  <c r="Q72" i="4"/>
  <c r="H228" i="4"/>
  <c r="Q228" i="4"/>
  <c r="H164" i="4"/>
  <c r="Q164" i="4"/>
  <c r="H36" i="4"/>
  <c r="Q36" i="4"/>
  <c r="H187" i="4"/>
  <c r="Q187" i="4"/>
  <c r="H59" i="4"/>
  <c r="Q59" i="4"/>
  <c r="H226" i="4"/>
  <c r="Q226" i="4"/>
  <c r="H233" i="4"/>
  <c r="Q233" i="4"/>
  <c r="H105" i="4"/>
  <c r="Q105" i="4"/>
  <c r="H256" i="4"/>
  <c r="Q256" i="4"/>
  <c r="H86" i="4"/>
  <c r="Q86" i="4"/>
  <c r="H69" i="4"/>
  <c r="Q69" i="4"/>
  <c r="H5" i="4"/>
  <c r="Q5" i="4"/>
  <c r="H18" i="4"/>
  <c r="Q18" i="4"/>
  <c r="H47" i="4"/>
  <c r="Q47" i="4"/>
  <c r="H200" i="4"/>
  <c r="Q200" i="4"/>
  <c r="H191" i="4"/>
  <c r="Q191" i="4"/>
  <c r="H213" i="4"/>
  <c r="Q213" i="4"/>
  <c r="H197" i="4"/>
  <c r="Q197" i="4"/>
  <c r="H26" i="4"/>
  <c r="Q26" i="4"/>
  <c r="H56" i="4"/>
  <c r="Q56" i="4"/>
  <c r="H28" i="4"/>
  <c r="Q28" i="4"/>
  <c r="H115" i="4"/>
  <c r="Q115" i="4"/>
  <c r="H218" i="4"/>
  <c r="Q218" i="4"/>
  <c r="H161" i="4"/>
  <c r="Q161" i="4"/>
  <c r="H248" i="4"/>
  <c r="Q248" i="4"/>
  <c r="H141" i="4"/>
  <c r="Q141" i="4"/>
  <c r="H146" i="4"/>
  <c r="Q146" i="4"/>
  <c r="H39" i="4"/>
  <c r="Q39" i="4"/>
  <c r="H80" i="4"/>
  <c r="Q80" i="4"/>
  <c r="H205" i="4"/>
  <c r="Q205" i="4"/>
  <c r="H120" i="4"/>
  <c r="Q120" i="4"/>
  <c r="H214" i="4"/>
  <c r="Q214" i="4"/>
  <c r="H150" i="4"/>
  <c r="Q150" i="4"/>
  <c r="H138" i="4"/>
  <c r="Q138" i="4"/>
  <c r="H84" i="4"/>
  <c r="Q84" i="4"/>
  <c r="H107" i="4"/>
  <c r="Q107" i="4"/>
  <c r="H207" i="4"/>
  <c r="Q207" i="4"/>
  <c r="H25" i="4"/>
  <c r="Q25" i="4"/>
  <c r="H231" i="4"/>
  <c r="Q231" i="4"/>
  <c r="H53" i="4"/>
  <c r="Q53" i="4"/>
  <c r="H130" i="4"/>
  <c r="Q130" i="4"/>
  <c r="H175" i="4"/>
  <c r="Q175" i="4"/>
  <c r="H31" i="4"/>
  <c r="Q31" i="4"/>
  <c r="H176" i="4"/>
  <c r="Q176" i="4"/>
  <c r="H64" i="4"/>
  <c r="Q64" i="4"/>
  <c r="H127" i="4"/>
  <c r="Q127" i="4"/>
  <c r="H189" i="4"/>
  <c r="Q189" i="4"/>
  <c r="H206" i="4"/>
  <c r="Q206" i="4"/>
  <c r="H142" i="4"/>
  <c r="Q142" i="4"/>
  <c r="H122" i="4"/>
  <c r="Q122" i="4"/>
  <c r="H143" i="4"/>
  <c r="Q143" i="4"/>
  <c r="H7" i="4"/>
  <c r="Q7" i="4"/>
  <c r="H16" i="4"/>
  <c r="Q16" i="4"/>
  <c r="H237" i="4"/>
  <c r="Q237" i="4"/>
  <c r="H182" i="4"/>
  <c r="Q182" i="4"/>
  <c r="H118" i="4"/>
  <c r="Q118" i="4"/>
  <c r="H74" i="4"/>
  <c r="Q74" i="4"/>
  <c r="H104" i="4"/>
  <c r="Q104" i="4"/>
  <c r="H3" i="4"/>
  <c r="Q3" i="4"/>
  <c r="H170" i="4"/>
  <c r="Q170" i="4"/>
  <c r="H177" i="4"/>
  <c r="Q177" i="4"/>
  <c r="H49" i="4"/>
  <c r="Q49" i="4"/>
  <c r="H223" i="4"/>
  <c r="Q223" i="4"/>
  <c r="H77" i="4"/>
  <c r="Q77" i="4"/>
  <c r="H34" i="4"/>
  <c r="Q34" i="4"/>
  <c r="H245" i="4"/>
  <c r="Q245" i="4"/>
  <c r="H166" i="4"/>
  <c r="Q166" i="4"/>
  <c r="H102" i="4"/>
  <c r="Q102" i="4"/>
  <c r="H100" i="4"/>
  <c r="Q100" i="4"/>
  <c r="H251" i="4"/>
  <c r="Q251" i="4"/>
  <c r="H123" i="4"/>
  <c r="Q123" i="4"/>
  <c r="H255" i="4"/>
  <c r="Q255" i="4"/>
  <c r="H162" i="4"/>
  <c r="Q162" i="4"/>
  <c r="H169" i="4"/>
  <c r="Q169" i="4"/>
  <c r="H41" i="4"/>
  <c r="Q41" i="4"/>
  <c r="H149" i="4"/>
  <c r="Q149" i="4"/>
  <c r="H92" i="4"/>
  <c r="Q92" i="4"/>
  <c r="H179" i="4"/>
  <c r="Q179" i="4"/>
  <c r="H215" i="4"/>
  <c r="Q215" i="4"/>
  <c r="H225" i="4"/>
  <c r="Q225" i="4"/>
  <c r="H97" i="4"/>
  <c r="Q97" i="4"/>
  <c r="H38" i="4"/>
  <c r="Q38" i="4"/>
  <c r="H61" i="4"/>
  <c r="Q61" i="4"/>
  <c r="H103" i="4"/>
  <c r="Q103" i="4"/>
  <c r="H184" i="4"/>
  <c r="Q184" i="4"/>
  <c r="H151" i="4"/>
  <c r="Q151" i="4"/>
  <c r="H173" i="4"/>
  <c r="Q173" i="4"/>
  <c r="H10" i="4"/>
  <c r="Q10" i="4"/>
  <c r="H212" i="4"/>
  <c r="Q212" i="4"/>
  <c r="H148" i="4"/>
  <c r="Q148" i="4"/>
  <c r="H20" i="4"/>
  <c r="Q20" i="4"/>
  <c r="H235" i="4"/>
  <c r="Q235" i="4"/>
  <c r="H171" i="4"/>
  <c r="Q171" i="4"/>
  <c r="H43" i="4"/>
  <c r="Q43" i="4"/>
  <c r="H94" i="4"/>
  <c r="Q94" i="4"/>
  <c r="H210" i="4"/>
  <c r="Q210" i="4"/>
  <c r="H217" i="4"/>
  <c r="Q217" i="4"/>
  <c r="H153" i="4"/>
  <c r="Q153" i="4"/>
  <c r="H89" i="4"/>
  <c r="Q89" i="4"/>
  <c r="H240" i="4"/>
  <c r="Q240" i="4"/>
  <c r="H133" i="4"/>
  <c r="Q133" i="4"/>
  <c r="H95" i="4"/>
  <c r="Q95" i="4"/>
  <c r="H46" i="4"/>
  <c r="Q46" i="4"/>
  <c r="H204" i="4"/>
  <c r="Q204" i="4"/>
  <c r="H140" i="4"/>
  <c r="Q140" i="4"/>
  <c r="H76" i="4"/>
  <c r="Q76" i="4"/>
  <c r="H12" i="4"/>
  <c r="Q12" i="4"/>
  <c r="H227" i="4"/>
  <c r="Q227" i="4"/>
  <c r="H163" i="4"/>
  <c r="Q163" i="4"/>
  <c r="H99" i="4"/>
  <c r="Q99" i="4"/>
  <c r="H35" i="4"/>
  <c r="Q35" i="4"/>
  <c r="H22" i="4"/>
  <c r="Q22" i="4"/>
  <c r="H202" i="4"/>
  <c r="Q202" i="4"/>
  <c r="H62" i="4"/>
  <c r="Q62" i="4"/>
  <c r="H209" i="4"/>
  <c r="Q209" i="4"/>
  <c r="H145" i="4"/>
  <c r="Q145" i="4"/>
  <c r="H81" i="4"/>
  <c r="Q81" i="4"/>
  <c r="H17" i="4"/>
  <c r="Q17" i="4"/>
  <c r="H232" i="4"/>
  <c r="Q232" i="4"/>
  <c r="H70" i="4"/>
  <c r="Q70" i="4"/>
  <c r="H117" i="4"/>
  <c r="Q117" i="4"/>
  <c r="H45" i="4"/>
  <c r="Q45" i="4"/>
  <c r="H98" i="4"/>
  <c r="Q98" i="4"/>
  <c r="H167" i="4"/>
  <c r="Q167" i="4"/>
  <c r="H87" i="4"/>
  <c r="Q87" i="4"/>
  <c r="H23" i="4"/>
  <c r="Q23" i="4"/>
  <c r="H114" i="4"/>
  <c r="Q114" i="4"/>
  <c r="H168" i="4"/>
  <c r="Q168" i="4"/>
  <c r="H48" i="4"/>
  <c r="Q48" i="4"/>
  <c r="H125" i="4"/>
  <c r="Q125" i="4"/>
  <c r="H198" i="4"/>
  <c r="Q198" i="4"/>
  <c r="H134" i="4"/>
  <c r="Q134" i="4"/>
  <c r="H106" i="4"/>
  <c r="Q106" i="4"/>
  <c r="H192" i="4"/>
  <c r="Q192" i="4"/>
  <c r="H40" i="4"/>
  <c r="Q40" i="4"/>
  <c r="H244" i="4"/>
  <c r="Q244" i="4"/>
  <c r="H52" i="4"/>
  <c r="Q52" i="4"/>
  <c r="H203" i="4"/>
  <c r="Q203" i="4"/>
  <c r="H75" i="4"/>
  <c r="Q75" i="4"/>
  <c r="H178" i="4"/>
  <c r="Q178" i="4"/>
  <c r="H185" i="4"/>
  <c r="Q185" i="4"/>
  <c r="H199" i="4"/>
  <c r="Q199" i="4"/>
  <c r="H165" i="4"/>
  <c r="Q165" i="4"/>
  <c r="H21" i="4"/>
  <c r="Q21" i="4"/>
  <c r="H63" i="4"/>
  <c r="Q63" i="4"/>
  <c r="H238" i="4"/>
  <c r="Q238" i="4"/>
  <c r="H110" i="4"/>
  <c r="Q110" i="4"/>
  <c r="H111" i="4"/>
  <c r="Q111" i="4"/>
  <c r="H96" i="4"/>
  <c r="Q96" i="4"/>
  <c r="H222" i="4"/>
  <c r="Q222" i="4"/>
  <c r="H158" i="4"/>
  <c r="Q158" i="4"/>
  <c r="H154" i="4"/>
  <c r="Q154" i="4"/>
  <c r="H136" i="4"/>
  <c r="Q136" i="4"/>
  <c r="H2" i="4"/>
  <c r="Q2" i="4"/>
  <c r="H220" i="4"/>
  <c r="Q220" i="4"/>
  <c r="H156" i="4"/>
  <c r="Q156" i="4"/>
  <c r="H243" i="4"/>
  <c r="Q243" i="4"/>
  <c r="H51" i="4"/>
  <c r="Q51" i="4"/>
  <c r="H247" i="4"/>
  <c r="Q247" i="4"/>
  <c r="H33" i="4"/>
  <c r="Q33" i="4"/>
  <c r="H183" i="4"/>
  <c r="Q183" i="4"/>
  <c r="H260" i="4"/>
  <c r="Q260" i="4"/>
  <c r="H196" i="4"/>
  <c r="Q196" i="4"/>
  <c r="H132" i="4"/>
  <c r="Q132" i="4"/>
  <c r="H68" i="4"/>
  <c r="Q68" i="4"/>
  <c r="H4" i="4"/>
  <c r="Q4" i="4"/>
  <c r="H219" i="4"/>
  <c r="Q219" i="4"/>
  <c r="H155" i="4"/>
  <c r="Q155" i="4"/>
  <c r="H91" i="4"/>
  <c r="Q91" i="4"/>
  <c r="H27" i="4"/>
  <c r="Q27" i="4"/>
  <c r="H258" i="4"/>
  <c r="Q258" i="4"/>
  <c r="H194" i="4"/>
  <c r="Q194" i="4"/>
  <c r="H6" i="4"/>
  <c r="Q6" i="4"/>
  <c r="H201" i="4"/>
  <c r="Q201" i="4"/>
  <c r="H137" i="4"/>
  <c r="Q137" i="4"/>
  <c r="H73" i="4"/>
  <c r="Q73" i="4"/>
  <c r="H9" i="4"/>
  <c r="Q9" i="4"/>
  <c r="H224" i="4"/>
  <c r="Q224" i="4"/>
  <c r="H14" i="4"/>
  <c r="Q14" i="4"/>
  <c r="H109" i="4"/>
  <c r="Q109" i="4"/>
  <c r="H37" i="4"/>
  <c r="Q37" i="4"/>
  <c r="H82" i="4"/>
  <c r="Q82" i="4"/>
  <c r="H159" i="4"/>
  <c r="Q159" i="4"/>
  <c r="H79" i="4"/>
  <c r="Q79" i="4"/>
  <c r="H15" i="4"/>
  <c r="Q15" i="4"/>
  <c r="H160" i="4"/>
  <c r="Q160" i="4"/>
  <c r="H32" i="4"/>
  <c r="Q32" i="4"/>
  <c r="H101" i="4"/>
  <c r="Q101" i="4"/>
  <c r="H254" i="4"/>
  <c r="Q254" i="4"/>
  <c r="H190" i="4"/>
  <c r="Q190" i="4"/>
  <c r="H126" i="4"/>
  <c r="Q126" i="4"/>
  <c r="H90" i="4"/>
  <c r="Q90" i="4"/>
  <c r="H152" i="4"/>
  <c r="Q152" i="4"/>
  <c r="H24" i="4"/>
  <c r="Q2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tc={8C8D038E-AD11-4D98-9F1C-57937AA6F74A}</author>
    <author>tc={46047218-E1AB-494B-8536-59D0F6A59143}</author>
    <author>tc={C0C54DA2-C0A9-4BE7-B2B8-B60A6CD8CB98}</author>
    <author>tc={14C4E39C-B23A-4C50-95A6-1E95485467E4}</author>
    <author>tc={560C5B6B-50FC-4FEC-B746-92A5923034B1}</author>
    <author>tc={47E05B23-0E13-4C0C-9470-8B3B20566E3E}</author>
    <author>tc={565EC583-5600-4497-8DC2-34BF7F572BF8}</author>
    <author>tc={49CED977-33A2-48EA-9BC7-74D7AE40A83A}</author>
    <author>tc={2086D7EC-D166-41E3-B555-20C2ACF441D2}</author>
    <author>tc={3FF25B33-4A65-4A17-B51D-63BF52DBB67B}</author>
    <author>tc={BBDA43A7-977D-42D6-87A9-74FCB14C8957}</author>
  </authors>
  <commentList>
    <comment ref="A1" authorId="0" shapeId="0" xr:uid="{8C8D038E-AD11-4D98-9F1C-57937AA6F74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https://comtradeplus.un.org/</t>
      </text>
    </comment>
    <comment ref="B1" authorId="1" shapeId="0" xr:uid="{46047218-E1AB-494B-8536-59D0F6A5914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https://comtradeplus.un.org/</t>
      </text>
    </comment>
    <comment ref="C1" authorId="2" shapeId="0" xr:uid="{C0C54DA2-C0A9-4BE7-B2B8-B60A6CD8CB9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https://comtradeplus.un.org/</t>
      </text>
    </comment>
    <comment ref="D1" authorId="3" shapeId="0" xr:uid="{14C4E39C-B23A-4C50-95A6-1E95485467E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https://comtradeplus.un.org/</t>
      </text>
    </comment>
    <comment ref="E1" authorId="4" shapeId="0" xr:uid="{560C5B6B-50FC-4FEC-B746-92A592303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https://comtradeplus.un.org/</t>
      </text>
    </comment>
    <comment ref="F1" authorId="5" shapeId="0" xr:uid="{47E05B23-0E13-4C0C-9470-8B3B20566E3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https://comtradeplus.un.org/</t>
      </text>
    </comment>
    <comment ref="G1" authorId="6" shapeId="0" xr:uid="{565EC583-5600-4497-8DC2-34BF7F572BF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https://comtradeplus.un.org/</t>
      </text>
    </comment>
    <comment ref="J1" authorId="7" shapeId="0" xr:uid="{49CED977-33A2-48EA-9BC7-74D7AE40A83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https://www.matteoiacoviello.com/gpr.htm</t>
      </text>
    </comment>
    <comment ref="K1" authorId="8" shapeId="0" xr:uid="{2086D7EC-D166-41E3-B555-20C2ACF441D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https://www.fao.org/faostat/en/#data/PP</t>
      </text>
    </comment>
    <comment ref="M1" authorId="9" shapeId="0" xr:uid="{3FF25B33-4A65-4A17-B51D-63BF52DBB67B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https://www.matteoiacoviello.com/gpr.htm</t>
      </text>
    </comment>
    <comment ref="N1" authorId="10" shapeId="0" xr:uid="{BBDA43A7-977D-42D6-87A9-74FCB14C8957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https://www.matteoiacoviello.com/gpr.htm</t>
      </text>
    </comment>
  </commentList>
</comments>
</file>

<file path=xl/sharedStrings.xml><?xml version="1.0" encoding="utf-8"?>
<sst xmlns="http://schemas.openxmlformats.org/spreadsheetml/2006/main" count="816" uniqueCount="35">
  <si>
    <t>Period</t>
  </si>
  <si>
    <t>Trade Flow</t>
  </si>
  <si>
    <t>Reporter</t>
  </si>
  <si>
    <t>Partner</t>
  </si>
  <si>
    <t>Commodity Code</t>
  </si>
  <si>
    <t>M</t>
  </si>
  <si>
    <t>India</t>
  </si>
  <si>
    <t>Malawi</t>
  </si>
  <si>
    <t>Trade Value (US)</t>
  </si>
  <si>
    <t>United Rep. of Tanzania</t>
  </si>
  <si>
    <t>Trade Value</t>
  </si>
  <si>
    <t>Post MoU Dummy</t>
  </si>
  <si>
    <t>MoU in Effect Dummy</t>
  </si>
  <si>
    <t>Export Share</t>
  </si>
  <si>
    <t>Net Weight(kg)</t>
  </si>
  <si>
    <t>Year</t>
  </si>
  <si>
    <t>Country Dummy</t>
  </si>
  <si>
    <t>Export Prices (India)</t>
  </si>
  <si>
    <t>Export Prices (World)</t>
  </si>
  <si>
    <t>Weighted Export Price</t>
  </si>
  <si>
    <t>Export Prices (Country)</t>
  </si>
  <si>
    <t>Producer Prices</t>
  </si>
  <si>
    <t>GPR_importer</t>
  </si>
  <si>
    <t>GPR_exporter</t>
  </si>
  <si>
    <t>GPR_world</t>
  </si>
  <si>
    <t>MoU * Export Share</t>
  </si>
  <si>
    <t>Import Share</t>
  </si>
  <si>
    <t>MoU * Import Share</t>
  </si>
  <si>
    <t>Pol Stab_importer</t>
  </si>
  <si>
    <t>Pol Stab_exporter</t>
  </si>
  <si>
    <t>PS_exporter</t>
  </si>
  <si>
    <t>PS_importer</t>
  </si>
  <si>
    <t>Source: Period, Trade Flow, Reporter, Partner, Commodity Code, Net Weight: UN comtrade: https://comtradeplus.un.org/</t>
  </si>
  <si>
    <t>Source: Producer Prices: https://www.fao.org/faostat/en/#data/PP</t>
  </si>
  <si>
    <t>Source: GPR_importer, exporter, world: https://www.matteoiacoviello.com/gpr.htm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</si>
</sst>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_ ;_-[$$-409]* \-#,##0\ ;_-[$$-409]* &quot;-&quot;??_ ;_-@_ "/>
    <numFmt numFmtId="165" formatCode="_-[$$-409]* #,##0.00_ ;_-[$$-409]* \-#,##0.00\ ;_-[$$-409]* &quot;-&quot;??_ ;_-@_ "/>
    <numFmt numFmtId="166" formatCode="0.0000"/>
    <numFmt numFmtId="167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7">
    <xf numFmtId="0" fontId="0" fillId="0" borderId="0" xfId="0"/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center" wrapText="1"/>
    </xf>
    <xf numFmtId="166" fontId="0" fillId="0" borderId="1" xfId="0" applyNumberFormat="1" applyBorder="1"/>
    <xf numFmtId="165" fontId="0" fillId="0" borderId="1" xfId="0" applyNumberFormat="1" applyBorder="1"/>
    <xf numFmtId="0" fontId="1" fillId="0" borderId="1" xfId="0" applyFont="1" applyBorder="1" applyAlignment="1">
      <alignment horizontal="left" vertical="center" wrapText="1"/>
    </xf>
    <xf numFmtId="1" fontId="0" fillId="0" borderId="0" xfId="0" applyNumberFormat="1"/>
    <xf numFmtId="0" fontId="1" fillId="0" borderId="2" xfId="0" applyFont="1" applyBorder="1" applyAlignment="1">
      <alignment horizontal="left" vertical="center" wrapText="1"/>
    </xf>
    <xf numFmtId="4" fontId="2" fillId="0" borderId="0" xfId="1" applyNumberFormat="1"/>
    <xf numFmtId="4" fontId="0" fillId="0" borderId="0" xfId="0" applyNumberFormat="1"/>
    <xf numFmtId="0" fontId="3" fillId="0" borderId="0" xfId="2"/>
    <xf numFmtId="166" fontId="3" fillId="0" borderId="0" xfId="2" applyNumberFormat="1"/>
    <xf numFmtId="166" fontId="0" fillId="0" borderId="0" xfId="0" applyNumberFormat="1"/>
    <xf numFmtId="167" fontId="0" fillId="0" borderId="0" xfId="0" applyNumberFormat="1"/>
    <xf numFmtId="167" fontId="0" fillId="0" borderId="1" xfId="0" applyNumberFormat="1" applyBorder="1"/>
    <xf numFmtId="0" fontId="0" fillId="0" borderId="1" xfId="0" applyBorder="1" applyAlignment="1">
      <alignment wrapText="1"/>
    </xf>
    <xf numFmtId="166" fontId="1" fillId="0" borderId="1" xfId="0" applyNumberFormat="1" applyFont="1" applyBorder="1"/>
    <xf numFmtId="165" fontId="0" fillId="0" borderId="0" xfId="0" applyNumberFormat="1" applyAlignment="1">
      <alignment vertical="center" wrapText="1"/>
    </xf>
    <xf numFmtId="0" fontId="1" fillId="0" borderId="0" xfId="0" applyFont="1"/>
    <xf numFmtId="1" fontId="1" fillId="0" borderId="0" xfId="0" applyNumberFormat="1" applyFont="1"/>
  </cellXfs>
  <cellStyles count="3">
    <cellStyle name="Normal" xfId="0" builtinId="0"/>
    <cellStyle name="Normal 2" xfId="1" xr:uid="{38C09722-BC28-4BE9-90BA-6CD7C79E82D5}"/>
    <cellStyle name="Normal 3" xfId="2" xr:uid="{B6501535-A0DF-4840-9220-37370442A0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vneel Daga" id="{590C5DE5-0291-462F-8FC6-CE88D1A4BFA2}" userId="fc1518566583947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1-20T19:12:32.47" personId="{590C5DE5-0291-462F-8FC6-CE88D1A4BFA2}" id="{8C8D038E-AD11-4D98-9F1C-57937AA6F74A}">
    <text>Source: https://comtradeplus.un.org/</text>
  </threadedComment>
  <threadedComment ref="B1" dT="2025-11-20T19:12:46.13" personId="{590C5DE5-0291-462F-8FC6-CE88D1A4BFA2}" id="{46047218-E1AB-494B-8536-59D0F6A59143}">
    <text>Source: https://comtradeplus.un.org/</text>
  </threadedComment>
  <threadedComment ref="C1" dT="2025-11-20T19:12:51.46" personId="{590C5DE5-0291-462F-8FC6-CE88D1A4BFA2}" id="{C0C54DA2-C0A9-4BE7-B2B8-B60A6CD8CB98}">
    <text>Source: https://comtradeplus.un.org/</text>
  </threadedComment>
  <threadedComment ref="D1" dT="2025-11-20T19:12:56.14" personId="{590C5DE5-0291-462F-8FC6-CE88D1A4BFA2}" id="{14C4E39C-B23A-4C50-95A6-1E95485467E4}">
    <text>Source: https://comtradeplus.un.org/</text>
  </threadedComment>
  <threadedComment ref="E1" dT="2025-11-20T19:12:59.98" personId="{590C5DE5-0291-462F-8FC6-CE88D1A4BFA2}" id="{560C5B6B-50FC-4FEC-B746-92A5923034B1}">
    <text>Source: https://comtradeplus.un.org/</text>
  </threadedComment>
  <threadedComment ref="F1" dT="2025-11-20T19:13:03.65" personId="{590C5DE5-0291-462F-8FC6-CE88D1A4BFA2}" id="{47E05B23-0E13-4C0C-9470-8B3B20566E3E}">
    <text>Source: https://comtradeplus.un.org/</text>
  </threadedComment>
  <threadedComment ref="G1" dT="2025-11-20T19:13:07.31" personId="{590C5DE5-0291-462F-8FC6-CE88D1A4BFA2}" id="{565EC583-5600-4497-8DC2-34BF7F572BF8}">
    <text>Source: https://comtradeplus.un.org/</text>
  </threadedComment>
  <threadedComment ref="J1" dT="2025-11-20T19:14:04.02" personId="{590C5DE5-0291-462F-8FC6-CE88D1A4BFA2}" id="{49CED977-33A2-48EA-9BC7-74D7AE40A83A}">
    <text>Source: https://www.matteoiacoviello.com/gpr.htm</text>
  </threadedComment>
  <threadedComment ref="K1" dT="2025-11-20T19:14:23.72" personId="{590C5DE5-0291-462F-8FC6-CE88D1A4BFA2}" id="{2086D7EC-D166-41E3-B555-20C2ACF441D2}">
    <text>Source: https://www.fao.org/faostat/en/#data/PP</text>
  </threadedComment>
  <threadedComment ref="M1" dT="2025-11-20T19:14:52.67" personId="{590C5DE5-0291-462F-8FC6-CE88D1A4BFA2}" id="{3FF25B33-4A65-4A17-B51D-63BF52DBB67B}">
    <text>Source: https://www.matteoiacoviello.com/gpr.htm</text>
  </threadedComment>
  <threadedComment ref="N1" dT="2025-11-20T19:14:56.19" personId="{590C5DE5-0291-462F-8FC6-CE88D1A4BFA2}" id="{BBDA43A7-977D-42D6-87A9-74FCB14C8957}">
    <text>Source: https://www.matteoiacoviello.com/gpr.htm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601E3-E2BD-4E5F-B45A-504D3A165018}">
  <dimension ref="A1:U334"/>
  <sheetViews>
    <sheetView tabSelected="1" workbookViewId="0"/>
  </sheetViews>
  <sheetFormatPr defaultRowHeight="15" x14ac:dyDescent="0.25"/>
  <cols>
    <col min="1" max="1" width="7" bestFit="1" customWidth="1"/>
    <col min="2" max="2" width="10.7109375" bestFit="1" customWidth="1"/>
    <col min="3" max="3" width="8.85546875" bestFit="1" customWidth="1"/>
    <col min="4" max="4" width="24.42578125" customWidth="1"/>
    <col min="5" max="5" width="16.42578125" bestFit="1" customWidth="1"/>
    <col min="6" max="6" width="17" bestFit="1" customWidth="1"/>
    <col min="7" max="7" width="14.85546875" bestFit="1" customWidth="1"/>
    <col min="8" max="8" width="19" bestFit="1" customWidth="1"/>
    <col min="9" max="9" width="20.140625" bestFit="1" customWidth="1"/>
    <col min="10" max="10" width="13.7109375" bestFit="1" customWidth="1"/>
    <col min="11" max="11" width="14.85546875" bestFit="1" customWidth="1"/>
    <col min="12" max="12" width="12.140625" bestFit="1" customWidth="1"/>
    <col min="13" max="13" width="13.5703125" bestFit="1" customWidth="1"/>
    <col min="14" max="15" width="13.85546875" customWidth="1"/>
    <col min="16" max="16" width="21.7109375" customWidth="1"/>
    <col min="17" max="17" width="18.5703125" customWidth="1"/>
    <col min="20" max="20" width="18.7109375" bestFit="1" customWidth="1"/>
    <col min="21" max="21" width="39.710937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12" t="s">
        <v>3</v>
      </c>
      <c r="E1" s="3" t="s">
        <v>4</v>
      </c>
      <c r="F1" s="3" t="s">
        <v>8</v>
      </c>
      <c r="G1" s="3" t="s">
        <v>14</v>
      </c>
      <c r="H1" s="12" t="s">
        <v>17</v>
      </c>
      <c r="I1" s="12" t="s">
        <v>18</v>
      </c>
      <c r="J1" s="12" t="s">
        <v>22</v>
      </c>
      <c r="K1" s="12" t="s">
        <v>21</v>
      </c>
      <c r="L1" s="12" t="s">
        <v>13</v>
      </c>
      <c r="M1" s="12" t="s">
        <v>23</v>
      </c>
      <c r="N1" s="12" t="s">
        <v>24</v>
      </c>
      <c r="O1" s="12" t="s">
        <v>26</v>
      </c>
      <c r="P1" s="12" t="s">
        <v>28</v>
      </c>
      <c r="Q1" s="12" t="s">
        <v>29</v>
      </c>
      <c r="U1" s="25" t="s">
        <v>32</v>
      </c>
    </row>
    <row r="2" spans="1:21" x14ac:dyDescent="0.25">
      <c r="A2" s="4">
        <v>202506</v>
      </c>
      <c r="B2" s="4" t="s">
        <v>5</v>
      </c>
      <c r="C2" s="4" t="s">
        <v>6</v>
      </c>
      <c r="D2" s="4" t="s">
        <v>7</v>
      </c>
      <c r="E2" s="4">
        <v>71360</v>
      </c>
      <c r="F2" s="6">
        <v>2374880</v>
      </c>
      <c r="G2" s="5">
        <v>3189740</v>
      </c>
      <c r="H2" s="11">
        <f>F2/G2</f>
        <v>0.74453717230871486</v>
      </c>
      <c r="I2" s="11">
        <v>0.74650000000000005</v>
      </c>
      <c r="J2" s="7">
        <v>0.46758103370666504</v>
      </c>
      <c r="K2" s="7"/>
      <c r="L2" s="10">
        <v>0.937363582038653</v>
      </c>
      <c r="M2" s="7">
        <v>220.12001037597656</v>
      </c>
      <c r="N2" s="7">
        <f>VLOOKUP(A2,$S$5:$T$158,2,FALSE)</f>
        <v>220.12001037597656</v>
      </c>
      <c r="O2" s="7">
        <v>5.5399999999999998E-2</v>
      </c>
      <c r="P2" s="7"/>
      <c r="Q2" s="7"/>
      <c r="S2" s="15"/>
      <c r="U2" s="26" t="s">
        <v>33</v>
      </c>
    </row>
    <row r="3" spans="1:21" x14ac:dyDescent="0.25">
      <c r="A3" s="4">
        <v>202505</v>
      </c>
      <c r="B3" s="4" t="s">
        <v>5</v>
      </c>
      <c r="C3" s="4" t="s">
        <v>6</v>
      </c>
      <c r="D3" s="4" t="s">
        <v>7</v>
      </c>
      <c r="E3" s="4">
        <v>71360</v>
      </c>
      <c r="F3" s="6">
        <v>2602564</v>
      </c>
      <c r="G3" s="5">
        <v>3247200</v>
      </c>
      <c r="H3" s="11">
        <f t="shared" ref="H3:H66" si="0">F3/G3</f>
        <v>0.8014794284306479</v>
      </c>
      <c r="I3" s="11">
        <v>0.82589999999999997</v>
      </c>
      <c r="J3" s="7">
        <v>0.76241862773895264</v>
      </c>
      <c r="K3" s="7"/>
      <c r="L3" s="10">
        <v>0.942057555133897</v>
      </c>
      <c r="M3" s="7">
        <v>165.22462463378906</v>
      </c>
      <c r="N3" s="7">
        <f t="shared" ref="N3:N66" si="1">VLOOKUP(A3,$S$5:$T$158,2,FALSE)</f>
        <v>165.22462463378906</v>
      </c>
      <c r="O3" s="7">
        <v>3.6799999999999999E-2</v>
      </c>
      <c r="P3" s="7"/>
      <c r="Q3" s="7"/>
      <c r="S3" s="15"/>
      <c r="U3" s="26" t="s">
        <v>34</v>
      </c>
    </row>
    <row r="4" spans="1:21" x14ac:dyDescent="0.25">
      <c r="A4" s="4">
        <v>202504</v>
      </c>
      <c r="B4" s="4" t="s">
        <v>5</v>
      </c>
      <c r="C4" s="4" t="s">
        <v>6</v>
      </c>
      <c r="D4" s="4" t="s">
        <v>7</v>
      </c>
      <c r="E4" s="4">
        <v>71360</v>
      </c>
      <c r="F4" s="6">
        <v>2640494</v>
      </c>
      <c r="G4" s="5">
        <v>3262000</v>
      </c>
      <c r="H4" s="11">
        <f t="shared" si="0"/>
        <v>0.80947087676272222</v>
      </c>
      <c r="I4" s="11">
        <v>0.82569999999999999</v>
      </c>
      <c r="J4" s="7">
        <v>0.4251442551612854</v>
      </c>
      <c r="K4" s="7"/>
      <c r="L4" s="10">
        <v>0.95744031258928997</v>
      </c>
      <c r="M4" s="7">
        <v>140.52890014648438</v>
      </c>
      <c r="N4" s="7">
        <f t="shared" si="1"/>
        <v>140.52890014648438</v>
      </c>
      <c r="O4" s="7">
        <v>3.3300000000000003E-2</v>
      </c>
      <c r="P4" s="7"/>
      <c r="Q4" s="7"/>
      <c r="S4" s="15"/>
      <c r="U4" s="13"/>
    </row>
    <row r="5" spans="1:21" x14ac:dyDescent="0.25">
      <c r="A5" s="4">
        <v>202503</v>
      </c>
      <c r="B5" s="4" t="s">
        <v>5</v>
      </c>
      <c r="C5" s="4" t="s">
        <v>6</v>
      </c>
      <c r="D5" s="4" t="s">
        <v>7</v>
      </c>
      <c r="E5" s="4">
        <v>71360</v>
      </c>
      <c r="F5" s="6">
        <v>620116</v>
      </c>
      <c r="G5" s="5">
        <v>833000</v>
      </c>
      <c r="H5" s="11">
        <f t="shared" si="0"/>
        <v>0.744436974789916</v>
      </c>
      <c r="I5" s="11">
        <v>0.84960000000000002</v>
      </c>
      <c r="J5" s="7">
        <v>0.24915465712547302</v>
      </c>
      <c r="K5" s="7"/>
      <c r="L5" s="10">
        <v>0.67451715781183996</v>
      </c>
      <c r="M5" s="7">
        <v>171.87290954589844</v>
      </c>
      <c r="N5" s="7">
        <f t="shared" si="1"/>
        <v>171.87290954589844</v>
      </c>
      <c r="O5" s="7">
        <v>2.5100000000000001E-2</v>
      </c>
      <c r="P5" s="7"/>
      <c r="Q5" s="7"/>
      <c r="S5">
        <v>201301</v>
      </c>
      <c r="T5" s="16">
        <v>90.657493591308594</v>
      </c>
      <c r="U5" s="13"/>
    </row>
    <row r="6" spans="1:21" x14ac:dyDescent="0.25">
      <c r="A6" s="4">
        <v>202502</v>
      </c>
      <c r="B6" s="4" t="s">
        <v>5</v>
      </c>
      <c r="C6" s="4" t="s">
        <v>6</v>
      </c>
      <c r="D6" s="4" t="s">
        <v>7</v>
      </c>
      <c r="E6" s="4">
        <v>71360</v>
      </c>
      <c r="F6" s="6">
        <v>1527395</v>
      </c>
      <c r="G6" s="5">
        <v>2053050</v>
      </c>
      <c r="H6" s="11">
        <f t="shared" si="0"/>
        <v>0.74396385864932657</v>
      </c>
      <c r="I6" s="11">
        <v>0.77539999999999998</v>
      </c>
      <c r="J6" s="7">
        <v>0.20897936820983887</v>
      </c>
      <c r="K6" s="7"/>
      <c r="L6" s="10">
        <v>0.89075891461656498</v>
      </c>
      <c r="M6" s="7">
        <v>136.20162963867188</v>
      </c>
      <c r="N6" s="7">
        <f t="shared" si="1"/>
        <v>136.20162963867188</v>
      </c>
      <c r="O6" s="7">
        <v>0.10059999999999999</v>
      </c>
      <c r="P6" s="7"/>
      <c r="Q6" s="7"/>
      <c r="S6">
        <v>201302</v>
      </c>
      <c r="T6" s="16">
        <v>81.59033203125</v>
      </c>
      <c r="U6" s="13"/>
    </row>
    <row r="7" spans="1:21" x14ac:dyDescent="0.25">
      <c r="A7" s="4">
        <v>202501</v>
      </c>
      <c r="B7" s="4" t="s">
        <v>5</v>
      </c>
      <c r="C7" s="4" t="s">
        <v>6</v>
      </c>
      <c r="D7" s="4" t="s">
        <v>7</v>
      </c>
      <c r="E7" s="4">
        <v>71360</v>
      </c>
      <c r="F7" s="6">
        <v>7723174</v>
      </c>
      <c r="G7" s="5">
        <v>8934560</v>
      </c>
      <c r="H7" s="11">
        <f t="shared" si="0"/>
        <v>0.86441570709693594</v>
      </c>
      <c r="I7" s="11">
        <v>0.86439999999999995</v>
      </c>
      <c r="J7" s="7">
        <v>0.23840893805027008</v>
      </c>
      <c r="K7" s="7"/>
      <c r="L7" s="10">
        <v>0.98172230100455504</v>
      </c>
      <c r="M7" s="7">
        <v>112.32621765136719</v>
      </c>
      <c r="N7" s="7">
        <f t="shared" si="1"/>
        <v>112.32621765136719</v>
      </c>
      <c r="O7" s="7">
        <v>0.15939999999999999</v>
      </c>
      <c r="P7" s="7"/>
      <c r="Q7" s="7"/>
      <c r="S7">
        <v>201303</v>
      </c>
      <c r="T7" s="16">
        <v>75.896720886230469</v>
      </c>
      <c r="U7" s="13"/>
    </row>
    <row r="8" spans="1:21" x14ac:dyDescent="0.25">
      <c r="A8" s="4">
        <v>202412</v>
      </c>
      <c r="B8" s="4" t="s">
        <v>5</v>
      </c>
      <c r="C8" s="4" t="s">
        <v>6</v>
      </c>
      <c r="D8" s="4" t="s">
        <v>7</v>
      </c>
      <c r="E8" s="4">
        <v>71360</v>
      </c>
      <c r="F8" s="6">
        <v>9465712</v>
      </c>
      <c r="G8" s="5">
        <v>10586250</v>
      </c>
      <c r="H8" s="11">
        <f t="shared" si="0"/>
        <v>0.89415156452946043</v>
      </c>
      <c r="I8" s="11">
        <v>0.89939999999999998</v>
      </c>
      <c r="J8" s="7">
        <v>0.19472841918468475</v>
      </c>
      <c r="K8" s="7">
        <v>520.1</v>
      </c>
      <c r="L8" s="10">
        <v>0.98550885183788495</v>
      </c>
      <c r="M8" s="7">
        <v>141.9027099609375</v>
      </c>
      <c r="N8" s="7">
        <f t="shared" si="1"/>
        <v>141.9027099609375</v>
      </c>
      <c r="O8" s="7">
        <v>9.4700000000000006E-2</v>
      </c>
      <c r="P8" s="7"/>
      <c r="Q8" s="7"/>
      <c r="S8">
        <v>201304</v>
      </c>
      <c r="T8" s="16">
        <v>95.107872009277344</v>
      </c>
      <c r="U8" s="13"/>
    </row>
    <row r="9" spans="1:21" x14ac:dyDescent="0.25">
      <c r="A9" s="4">
        <v>202411</v>
      </c>
      <c r="B9" s="4" t="s">
        <v>5</v>
      </c>
      <c r="C9" s="4" t="s">
        <v>6</v>
      </c>
      <c r="D9" s="4" t="s">
        <v>7</v>
      </c>
      <c r="E9" s="4">
        <v>71360</v>
      </c>
      <c r="F9" s="6">
        <v>12683154</v>
      </c>
      <c r="G9" s="5">
        <v>13945500</v>
      </c>
      <c r="H9" s="11">
        <f t="shared" si="0"/>
        <v>0.90948004732709475</v>
      </c>
      <c r="I9" s="11">
        <v>0.91469999999999996</v>
      </c>
      <c r="J9" s="7">
        <v>0.18260814249515533</v>
      </c>
      <c r="K9" s="7">
        <v>520.1</v>
      </c>
      <c r="L9" s="10">
        <v>0.98028706302667601</v>
      </c>
      <c r="M9" s="7">
        <v>128.48176574707031</v>
      </c>
      <c r="N9" s="7">
        <f t="shared" si="1"/>
        <v>128.48176574707031</v>
      </c>
      <c r="O9" s="7">
        <v>7.5399999999999995E-2</v>
      </c>
      <c r="P9" s="7"/>
      <c r="Q9" s="7"/>
      <c r="S9">
        <v>201305</v>
      </c>
      <c r="T9" s="16">
        <v>83.717315673828125</v>
      </c>
      <c r="U9" s="13"/>
    </row>
    <row r="10" spans="1:21" x14ac:dyDescent="0.25">
      <c r="A10" s="4">
        <v>202410</v>
      </c>
      <c r="B10" s="4" t="s">
        <v>5</v>
      </c>
      <c r="C10" s="4" t="s">
        <v>6</v>
      </c>
      <c r="D10" s="4" t="s">
        <v>7</v>
      </c>
      <c r="E10" s="4">
        <v>71360</v>
      </c>
      <c r="F10" s="6">
        <v>16695451</v>
      </c>
      <c r="G10" s="5">
        <v>16992800</v>
      </c>
      <c r="H10" s="11">
        <f t="shared" si="0"/>
        <v>0.98250147121133657</v>
      </c>
      <c r="I10" s="11">
        <v>0.9839</v>
      </c>
      <c r="J10" s="7">
        <v>0.26585879921913147</v>
      </c>
      <c r="K10" s="7">
        <v>520.1</v>
      </c>
      <c r="L10" s="10">
        <v>0.99106845572198499</v>
      </c>
      <c r="M10" s="7">
        <v>130.689208984375</v>
      </c>
      <c r="N10" s="7">
        <f t="shared" si="1"/>
        <v>130.689208984375</v>
      </c>
      <c r="O10" s="7">
        <v>6.6900000000000001E-2</v>
      </c>
      <c r="P10" s="7"/>
      <c r="Q10" s="7"/>
      <c r="S10">
        <v>201306</v>
      </c>
      <c r="T10" s="16">
        <v>82.973007202148438</v>
      </c>
      <c r="U10" s="13"/>
    </row>
    <row r="11" spans="1:21" x14ac:dyDescent="0.25">
      <c r="A11" s="4">
        <v>202409</v>
      </c>
      <c r="B11" s="4" t="s">
        <v>5</v>
      </c>
      <c r="C11" s="4" t="s">
        <v>6</v>
      </c>
      <c r="D11" s="4" t="s">
        <v>7</v>
      </c>
      <c r="E11" s="4">
        <v>71360</v>
      </c>
      <c r="F11" s="6">
        <v>14571423</v>
      </c>
      <c r="G11" s="5">
        <v>13695000</v>
      </c>
      <c r="H11" s="11">
        <f t="shared" si="0"/>
        <v>1.0639958378970427</v>
      </c>
      <c r="I11" s="11">
        <v>1.0640000000000001</v>
      </c>
      <c r="J11" s="7">
        <v>0.16914969682693481</v>
      </c>
      <c r="K11" s="7">
        <v>520.1</v>
      </c>
      <c r="L11" s="10">
        <v>0.97462855529941805</v>
      </c>
      <c r="M11" s="7">
        <v>130.14187622070313</v>
      </c>
      <c r="N11" s="7">
        <f t="shared" si="1"/>
        <v>130.14187622070313</v>
      </c>
      <c r="O11" s="7">
        <v>6.8900000000000003E-2</v>
      </c>
      <c r="P11" s="7"/>
      <c r="Q11" s="7"/>
      <c r="S11">
        <v>201307</v>
      </c>
      <c r="T11" s="16">
        <v>73.975814819335938</v>
      </c>
      <c r="U11" s="13"/>
    </row>
    <row r="12" spans="1:21" x14ac:dyDescent="0.25">
      <c r="A12" s="4">
        <v>202408</v>
      </c>
      <c r="B12" s="4" t="s">
        <v>5</v>
      </c>
      <c r="C12" s="4" t="s">
        <v>6</v>
      </c>
      <c r="D12" s="4" t="s">
        <v>7</v>
      </c>
      <c r="E12" s="4">
        <v>71360</v>
      </c>
      <c r="F12" s="6">
        <v>3240866</v>
      </c>
      <c r="G12" s="5">
        <v>2839010</v>
      </c>
      <c r="H12" s="11">
        <f t="shared" si="0"/>
        <v>1.1415479339628956</v>
      </c>
      <c r="I12" s="11">
        <v>1.1498999999999999</v>
      </c>
      <c r="J12" s="7">
        <v>0.2278769463300705</v>
      </c>
      <c r="K12" s="7">
        <v>520.1</v>
      </c>
      <c r="L12" s="10">
        <v>0.97976568695116395</v>
      </c>
      <c r="M12" s="7">
        <v>140.76402282714844</v>
      </c>
      <c r="N12" s="7">
        <f t="shared" si="1"/>
        <v>140.76402282714844</v>
      </c>
      <c r="O12" s="7">
        <v>2.87E-2</v>
      </c>
      <c r="P12" s="7"/>
      <c r="Q12" s="7"/>
      <c r="S12">
        <v>201308</v>
      </c>
      <c r="T12" s="16">
        <v>90.956748962402344</v>
      </c>
      <c r="U12" s="13"/>
    </row>
    <row r="13" spans="1:21" x14ac:dyDescent="0.25">
      <c r="A13" s="4">
        <v>202407</v>
      </c>
      <c r="B13" s="4" t="s">
        <v>5</v>
      </c>
      <c r="C13" s="4" t="s">
        <v>6</v>
      </c>
      <c r="D13" s="4" t="s">
        <v>7</v>
      </c>
      <c r="E13" s="4">
        <v>71360</v>
      </c>
      <c r="F13" s="6">
        <v>1486642</v>
      </c>
      <c r="G13" s="5">
        <v>1074750</v>
      </c>
      <c r="H13" s="11">
        <f t="shared" si="0"/>
        <v>1.3832444754594091</v>
      </c>
      <c r="I13" s="11">
        <v>1.4238</v>
      </c>
      <c r="J13" s="7">
        <v>0.16011823713779449</v>
      </c>
      <c r="K13" s="7">
        <v>520.1</v>
      </c>
      <c r="L13" s="10">
        <v>0.87212721222844303</v>
      </c>
      <c r="M13" s="7">
        <v>92.394874572753906</v>
      </c>
      <c r="N13" s="7">
        <f t="shared" si="1"/>
        <v>92.394874572753906</v>
      </c>
      <c r="O13" s="7">
        <v>1.5900000000000001E-2</v>
      </c>
      <c r="P13" s="7"/>
      <c r="Q13" s="7"/>
      <c r="S13">
        <v>201309</v>
      </c>
      <c r="T13" s="16">
        <v>100.45932769775391</v>
      </c>
      <c r="U13" s="13"/>
    </row>
    <row r="14" spans="1:21" x14ac:dyDescent="0.25">
      <c r="A14" s="4">
        <v>202406</v>
      </c>
      <c r="B14" s="4" t="s">
        <v>5</v>
      </c>
      <c r="C14" s="4" t="s">
        <v>6</v>
      </c>
      <c r="D14" s="4" t="s">
        <v>7</v>
      </c>
      <c r="E14" s="4">
        <v>71360</v>
      </c>
      <c r="F14" s="6">
        <v>1925836</v>
      </c>
      <c r="G14" s="5">
        <v>1595970</v>
      </c>
      <c r="H14" s="11">
        <f t="shared" si="0"/>
        <v>1.2066868424845079</v>
      </c>
      <c r="I14" s="11">
        <v>1.2453000000000001</v>
      </c>
      <c r="J14" s="7">
        <v>0.19021050631999969</v>
      </c>
      <c r="K14" s="7">
        <v>520.1</v>
      </c>
      <c r="L14" s="10">
        <v>0.90124153551690001</v>
      </c>
      <c r="M14" s="7">
        <v>112.88140869140625</v>
      </c>
      <c r="N14" s="7">
        <f t="shared" si="1"/>
        <v>112.88140869140625</v>
      </c>
      <c r="O14" s="7">
        <v>1.7000000000000001E-2</v>
      </c>
      <c r="P14" s="7"/>
      <c r="Q14" s="7"/>
      <c r="S14">
        <v>201310</v>
      </c>
      <c r="T14" s="16">
        <v>72.953117370605469</v>
      </c>
      <c r="U14" s="13"/>
    </row>
    <row r="15" spans="1:21" x14ac:dyDescent="0.25">
      <c r="A15" s="4">
        <v>202405</v>
      </c>
      <c r="B15" s="4" t="s">
        <v>5</v>
      </c>
      <c r="C15" s="4" t="s">
        <v>6</v>
      </c>
      <c r="D15" s="4" t="s">
        <v>7</v>
      </c>
      <c r="E15" s="4">
        <v>71360</v>
      </c>
      <c r="F15" s="6">
        <v>2257265</v>
      </c>
      <c r="G15" s="5">
        <v>1923240</v>
      </c>
      <c r="H15" s="11">
        <f t="shared" si="0"/>
        <v>1.1736782720825274</v>
      </c>
      <c r="I15" s="11">
        <v>1.2331000000000001</v>
      </c>
      <c r="J15" s="7">
        <v>0.13457304239273071</v>
      </c>
      <c r="K15" s="7">
        <v>520.1</v>
      </c>
      <c r="L15" s="10">
        <v>0.83005749780834603</v>
      </c>
      <c r="M15" s="7">
        <v>130.52186584472656</v>
      </c>
      <c r="N15" s="7">
        <f t="shared" si="1"/>
        <v>130.52186584472656</v>
      </c>
      <c r="O15" s="7">
        <v>2.9399999999999999E-2</v>
      </c>
      <c r="P15" s="7"/>
      <c r="Q15" s="7"/>
      <c r="S15">
        <v>201311</v>
      </c>
      <c r="T15" s="16">
        <v>77.779022216796875</v>
      </c>
      <c r="U15" s="13"/>
    </row>
    <row r="16" spans="1:21" x14ac:dyDescent="0.25">
      <c r="A16" s="4">
        <v>202404</v>
      </c>
      <c r="B16" s="4" t="s">
        <v>5</v>
      </c>
      <c r="C16" s="4" t="s">
        <v>6</v>
      </c>
      <c r="D16" s="4" t="s">
        <v>7</v>
      </c>
      <c r="E16" s="4">
        <v>71360</v>
      </c>
      <c r="F16" s="6">
        <v>5434472</v>
      </c>
      <c r="G16" s="5">
        <v>5560490</v>
      </c>
      <c r="H16" s="11">
        <f t="shared" si="0"/>
        <v>0.9773368893748573</v>
      </c>
      <c r="I16" s="11">
        <v>0.98240000000000005</v>
      </c>
      <c r="J16" s="7">
        <v>0.24681982398033142</v>
      </c>
      <c r="K16" s="7">
        <v>520.1</v>
      </c>
      <c r="L16" s="10">
        <v>0.98879145572067295</v>
      </c>
      <c r="M16" s="7">
        <v>163.73634338378906</v>
      </c>
      <c r="N16" s="7">
        <f t="shared" si="1"/>
        <v>163.73634338378906</v>
      </c>
      <c r="O16" s="7">
        <v>7.3899999999999993E-2</v>
      </c>
      <c r="P16" s="7"/>
      <c r="Q16" s="7"/>
      <c r="S16">
        <v>201312</v>
      </c>
      <c r="T16" s="16">
        <v>70.372489929199219</v>
      </c>
      <c r="U16" s="13"/>
    </row>
    <row r="17" spans="1:21" x14ac:dyDescent="0.25">
      <c r="A17" s="4">
        <v>202403</v>
      </c>
      <c r="B17" s="4" t="s">
        <v>5</v>
      </c>
      <c r="C17" s="4" t="s">
        <v>6</v>
      </c>
      <c r="D17" s="4" t="s">
        <v>7</v>
      </c>
      <c r="E17" s="4">
        <v>71360</v>
      </c>
      <c r="F17" s="6">
        <v>1358609</v>
      </c>
      <c r="G17" s="5">
        <v>1224980</v>
      </c>
      <c r="H17" s="11">
        <f t="shared" si="0"/>
        <v>1.1090866789661873</v>
      </c>
      <c r="I17" s="11">
        <v>1.1387</v>
      </c>
      <c r="J17" s="7">
        <v>0.23973444104194641</v>
      </c>
      <c r="K17" s="7">
        <v>520.1</v>
      </c>
      <c r="L17" s="10">
        <v>0.92399940966717597</v>
      </c>
      <c r="M17" s="7">
        <v>133.21316528320313</v>
      </c>
      <c r="N17" s="7">
        <f t="shared" si="1"/>
        <v>133.21316528320313</v>
      </c>
      <c r="O17" s="7">
        <v>2.5100000000000001E-2</v>
      </c>
      <c r="P17" s="7"/>
      <c r="Q17" s="7"/>
      <c r="S17">
        <v>201401</v>
      </c>
      <c r="T17" s="16">
        <v>77.915969848632813</v>
      </c>
      <c r="U17" s="13"/>
    </row>
    <row r="18" spans="1:21" x14ac:dyDescent="0.25">
      <c r="A18" s="4">
        <v>202402</v>
      </c>
      <c r="B18" s="4" t="s">
        <v>5</v>
      </c>
      <c r="C18" s="4" t="s">
        <v>6</v>
      </c>
      <c r="D18" s="4" t="s">
        <v>7</v>
      </c>
      <c r="E18" s="4">
        <v>71360</v>
      </c>
      <c r="F18" s="6">
        <v>2989384</v>
      </c>
      <c r="G18" s="5">
        <v>3150000</v>
      </c>
      <c r="H18" s="11">
        <f t="shared" si="0"/>
        <v>0.94901079365079366</v>
      </c>
      <c r="I18" s="11">
        <v>0.95050000000000001</v>
      </c>
      <c r="J18" s="7">
        <v>0.21592618525028229</v>
      </c>
      <c r="K18" s="7">
        <v>520.1</v>
      </c>
      <c r="L18" s="10">
        <v>0.99787332408691598</v>
      </c>
      <c r="M18" s="7">
        <v>146.59817504882813</v>
      </c>
      <c r="N18" s="7">
        <f t="shared" si="1"/>
        <v>146.59817504882813</v>
      </c>
      <c r="O18" s="7">
        <v>5.74E-2</v>
      </c>
      <c r="P18" s="7"/>
      <c r="Q18" s="7"/>
      <c r="S18">
        <v>201402</v>
      </c>
      <c r="T18" s="16">
        <v>69.003524780273438</v>
      </c>
      <c r="U18" s="13"/>
    </row>
    <row r="19" spans="1:21" x14ac:dyDescent="0.25">
      <c r="A19" s="4">
        <v>202401</v>
      </c>
      <c r="B19" s="4" t="s">
        <v>5</v>
      </c>
      <c r="C19" s="4" t="s">
        <v>6</v>
      </c>
      <c r="D19" s="4" t="s">
        <v>7</v>
      </c>
      <c r="E19" s="4">
        <v>71360</v>
      </c>
      <c r="F19" s="6">
        <v>5517690</v>
      </c>
      <c r="G19" s="5">
        <v>5872900</v>
      </c>
      <c r="H19" s="11">
        <f t="shared" si="0"/>
        <v>0.93951710398610566</v>
      </c>
      <c r="I19" s="11">
        <v>0.9506</v>
      </c>
      <c r="J19" s="7">
        <v>0.27558562159538269</v>
      </c>
      <c r="K19" s="7">
        <v>520.1</v>
      </c>
      <c r="L19" s="10">
        <v>0.96351549595634201</v>
      </c>
      <c r="M19" s="7">
        <v>160.16484069824219</v>
      </c>
      <c r="N19" s="7">
        <f t="shared" si="1"/>
        <v>160.16484069824219</v>
      </c>
      <c r="O19" s="7">
        <v>0.1091</v>
      </c>
      <c r="P19" s="7"/>
      <c r="Q19" s="7"/>
      <c r="S19">
        <v>201403</v>
      </c>
      <c r="T19" s="16">
        <v>119.83855438232422</v>
      </c>
      <c r="U19" s="13"/>
    </row>
    <row r="20" spans="1:21" x14ac:dyDescent="0.25">
      <c r="A20" s="4">
        <v>202312</v>
      </c>
      <c r="B20" s="4" t="s">
        <v>5</v>
      </c>
      <c r="C20" s="4" t="s">
        <v>6</v>
      </c>
      <c r="D20" s="4" t="s">
        <v>7</v>
      </c>
      <c r="E20" s="4">
        <v>71360</v>
      </c>
      <c r="F20" s="6">
        <v>4208236</v>
      </c>
      <c r="G20" s="5">
        <v>3864980</v>
      </c>
      <c r="H20" s="11">
        <f t="shared" si="0"/>
        <v>1.0888118437870313</v>
      </c>
      <c r="I20" s="11">
        <v>1.0912999999999999</v>
      </c>
      <c r="J20" s="7">
        <v>0.22528322041034698</v>
      </c>
      <c r="K20" s="7">
        <v>533.79999999999995</v>
      </c>
      <c r="L20" s="10">
        <v>0.98892991704781497</v>
      </c>
      <c r="M20" s="7">
        <v>142.27946472167969</v>
      </c>
      <c r="N20" s="7">
        <f t="shared" si="1"/>
        <v>142.27946472167969</v>
      </c>
      <c r="O20" s="7">
        <v>4.9599999999999998E-2</v>
      </c>
      <c r="P20" s="7">
        <v>-0.64</v>
      </c>
      <c r="Q20" s="7">
        <v>-0.24</v>
      </c>
      <c r="S20">
        <v>201404</v>
      </c>
      <c r="T20" s="16">
        <v>93.221542358398438</v>
      </c>
      <c r="U20" s="13"/>
    </row>
    <row r="21" spans="1:21" x14ac:dyDescent="0.25">
      <c r="A21" s="4">
        <v>202311</v>
      </c>
      <c r="B21" s="4" t="s">
        <v>5</v>
      </c>
      <c r="C21" s="4" t="s">
        <v>6</v>
      </c>
      <c r="D21" s="4" t="s">
        <v>7</v>
      </c>
      <c r="E21" s="4">
        <v>71360</v>
      </c>
      <c r="F21" s="6">
        <v>9556578</v>
      </c>
      <c r="G21" s="5">
        <v>10575950</v>
      </c>
      <c r="H21" s="11">
        <f t="shared" si="0"/>
        <v>0.90361414341028468</v>
      </c>
      <c r="I21" s="11">
        <v>0.90959999999999996</v>
      </c>
      <c r="J21" s="7">
        <v>0.25032857060432434</v>
      </c>
      <c r="K21" s="7">
        <v>533.79999999999995</v>
      </c>
      <c r="L21" s="10">
        <v>0.98364769179969802</v>
      </c>
      <c r="M21" s="7">
        <v>156.69613647460938</v>
      </c>
      <c r="N21" s="7">
        <f t="shared" si="1"/>
        <v>156.69613647460938</v>
      </c>
      <c r="O21" s="7">
        <v>8.6900000000000005E-2</v>
      </c>
      <c r="P21" s="7">
        <v>-0.64</v>
      </c>
      <c r="Q21" s="7">
        <v>-0.24</v>
      </c>
      <c r="S21">
        <v>201405</v>
      </c>
      <c r="T21" s="16">
        <v>83.428855895996094</v>
      </c>
      <c r="U21" s="13"/>
    </row>
    <row r="22" spans="1:21" x14ac:dyDescent="0.25">
      <c r="A22" s="4">
        <v>202310</v>
      </c>
      <c r="B22" s="4" t="s">
        <v>5</v>
      </c>
      <c r="C22" s="4" t="s">
        <v>6</v>
      </c>
      <c r="D22" s="4" t="s">
        <v>7</v>
      </c>
      <c r="E22" s="4">
        <v>71360</v>
      </c>
      <c r="F22" s="6">
        <v>15388599</v>
      </c>
      <c r="G22" s="5">
        <v>16341600</v>
      </c>
      <c r="H22" s="11">
        <f t="shared" si="0"/>
        <v>0.94168251578792772</v>
      </c>
      <c r="I22" s="11">
        <v>0.93089999999999995</v>
      </c>
      <c r="J22" s="7">
        <v>0.22093509137630463</v>
      </c>
      <c r="K22" s="7">
        <v>533.79999999999995</v>
      </c>
      <c r="L22" s="10">
        <v>0.98686927524430101</v>
      </c>
      <c r="M22" s="7">
        <v>197.88700866699219</v>
      </c>
      <c r="N22" s="7">
        <f t="shared" si="1"/>
        <v>197.88700866699219</v>
      </c>
      <c r="O22" s="7">
        <v>9.11E-2</v>
      </c>
      <c r="P22" s="7">
        <v>-0.64</v>
      </c>
      <c r="Q22" s="7">
        <v>-0.24</v>
      </c>
      <c r="S22">
        <v>201406</v>
      </c>
      <c r="T22" s="16">
        <v>98.767105102539063</v>
      </c>
      <c r="U22" s="13"/>
    </row>
    <row r="23" spans="1:21" x14ac:dyDescent="0.25">
      <c r="A23" s="4">
        <v>202309</v>
      </c>
      <c r="B23" s="4" t="s">
        <v>5</v>
      </c>
      <c r="C23" s="4" t="s">
        <v>6</v>
      </c>
      <c r="D23" s="4" t="s">
        <v>7</v>
      </c>
      <c r="E23" s="4">
        <v>71360</v>
      </c>
      <c r="F23" s="6">
        <v>4399603</v>
      </c>
      <c r="G23" s="5">
        <v>4975010</v>
      </c>
      <c r="H23" s="11">
        <f t="shared" si="0"/>
        <v>0.88434053398887635</v>
      </c>
      <c r="I23" s="11">
        <v>0.88859999999999995</v>
      </c>
      <c r="J23" s="7">
        <v>0.45979791879653931</v>
      </c>
      <c r="K23" s="7">
        <v>533.79999999999995</v>
      </c>
      <c r="L23" s="10">
        <v>0.94058474161195205</v>
      </c>
      <c r="M23" s="7">
        <v>98.634811401367188</v>
      </c>
      <c r="N23" s="7">
        <f t="shared" si="1"/>
        <v>98.634811401367188</v>
      </c>
      <c r="O23" s="7">
        <v>6.3399999999999998E-2</v>
      </c>
      <c r="P23" s="7">
        <v>-0.64</v>
      </c>
      <c r="Q23" s="7">
        <v>-0.24</v>
      </c>
      <c r="S23">
        <v>201407</v>
      </c>
      <c r="T23" s="16">
        <v>138.75395202636719</v>
      </c>
      <c r="U23" s="13"/>
    </row>
    <row r="24" spans="1:21" x14ac:dyDescent="0.25">
      <c r="A24" s="4">
        <v>202308</v>
      </c>
      <c r="B24" s="4" t="s">
        <v>5</v>
      </c>
      <c r="C24" s="4" t="s">
        <v>6</v>
      </c>
      <c r="D24" s="4" t="s">
        <v>7</v>
      </c>
      <c r="E24" s="4">
        <v>71360</v>
      </c>
      <c r="F24" s="6">
        <v>1872852</v>
      </c>
      <c r="G24" s="5">
        <v>1900000</v>
      </c>
      <c r="H24" s="11">
        <f t="shared" si="0"/>
        <v>0.98571157894736838</v>
      </c>
      <c r="I24" s="11">
        <v>0.66930000000000001</v>
      </c>
      <c r="J24" s="7">
        <v>0.31549569964408875</v>
      </c>
      <c r="K24" s="7">
        <v>533.79999999999995</v>
      </c>
      <c r="L24" s="10">
        <v>0.87933433872400502</v>
      </c>
      <c r="M24" s="7">
        <v>101.14118194580078</v>
      </c>
      <c r="N24" s="7">
        <f t="shared" si="1"/>
        <v>101.14118194580078</v>
      </c>
      <c r="O24" s="7">
        <v>4.19E-2</v>
      </c>
      <c r="P24" s="7">
        <v>-0.64</v>
      </c>
      <c r="Q24" s="7">
        <v>-0.24</v>
      </c>
      <c r="S24">
        <v>201408</v>
      </c>
      <c r="T24" s="16">
        <v>136.44558715820313</v>
      </c>
      <c r="U24" s="13"/>
    </row>
    <row r="25" spans="1:21" x14ac:dyDescent="0.25">
      <c r="A25" s="4">
        <v>202307</v>
      </c>
      <c r="B25" s="4" t="s">
        <v>5</v>
      </c>
      <c r="C25" s="4" t="s">
        <v>6</v>
      </c>
      <c r="D25" s="4" t="s">
        <v>7</v>
      </c>
      <c r="E25" s="4">
        <v>71360</v>
      </c>
      <c r="F25" s="6">
        <v>182430</v>
      </c>
      <c r="G25" s="5">
        <v>350000</v>
      </c>
      <c r="H25" s="11">
        <f t="shared" si="0"/>
        <v>0.52122857142857137</v>
      </c>
      <c r="I25" s="11">
        <v>0.28170000000000001</v>
      </c>
      <c r="J25" s="7">
        <v>0.21112766861915588</v>
      </c>
      <c r="K25" s="7">
        <v>533.79999999999995</v>
      </c>
      <c r="L25" s="10">
        <v>0.64329011350933896</v>
      </c>
      <c r="M25" s="7">
        <v>107.44878387451172</v>
      </c>
      <c r="N25" s="7">
        <f t="shared" si="1"/>
        <v>107.44878387451172</v>
      </c>
      <c r="O25" s="7">
        <v>7.7999999999999996E-3</v>
      </c>
      <c r="P25" s="7">
        <v>-0.64</v>
      </c>
      <c r="Q25" s="7">
        <v>-0.24</v>
      </c>
      <c r="S25">
        <v>201409</v>
      </c>
      <c r="T25" s="16">
        <v>131.55665588378906</v>
      </c>
      <c r="U25" s="13"/>
    </row>
    <row r="26" spans="1:21" x14ac:dyDescent="0.25">
      <c r="A26" s="4">
        <v>202306</v>
      </c>
      <c r="B26" s="4" t="s">
        <v>5</v>
      </c>
      <c r="C26" s="4" t="s">
        <v>6</v>
      </c>
      <c r="D26" s="4" t="s">
        <v>7</v>
      </c>
      <c r="E26" s="4">
        <v>71360</v>
      </c>
      <c r="F26" s="6">
        <v>1525373</v>
      </c>
      <c r="G26" s="5">
        <v>1547000</v>
      </c>
      <c r="H26" s="11">
        <f t="shared" si="0"/>
        <v>0.98602003878474465</v>
      </c>
      <c r="I26" s="11">
        <v>1.0002</v>
      </c>
      <c r="J26" s="7">
        <v>0.26301303505897522</v>
      </c>
      <c r="K26" s="7">
        <v>533.79999999999995</v>
      </c>
      <c r="L26" s="10">
        <v>0.96749197336590897</v>
      </c>
      <c r="M26" s="7">
        <v>110.52894592285156</v>
      </c>
      <c r="N26" s="7">
        <f t="shared" si="1"/>
        <v>110.52894592285156</v>
      </c>
      <c r="O26" s="7">
        <v>4.8500000000000001E-2</v>
      </c>
      <c r="P26" s="7">
        <v>-0.64</v>
      </c>
      <c r="Q26" s="7">
        <v>-0.24</v>
      </c>
      <c r="S26">
        <v>201410</v>
      </c>
      <c r="T26" s="16">
        <v>83.661003112792969</v>
      </c>
      <c r="U26" s="13"/>
    </row>
    <row r="27" spans="1:21" x14ac:dyDescent="0.25">
      <c r="A27" s="4">
        <v>202305</v>
      </c>
      <c r="B27" s="4" t="s">
        <v>5</v>
      </c>
      <c r="C27" s="4" t="s">
        <v>6</v>
      </c>
      <c r="D27" s="4" t="s">
        <v>7</v>
      </c>
      <c r="E27" s="4">
        <v>71360</v>
      </c>
      <c r="F27" s="6">
        <v>2615546</v>
      </c>
      <c r="G27" s="5">
        <v>3375000</v>
      </c>
      <c r="H27" s="11">
        <f t="shared" si="0"/>
        <v>0.77497659259259255</v>
      </c>
      <c r="I27" s="11">
        <v>0.80859999999999999</v>
      </c>
      <c r="J27" s="7">
        <v>0.31503695249557495</v>
      </c>
      <c r="K27" s="7">
        <v>533.79999999999995</v>
      </c>
      <c r="L27" s="10">
        <v>0.88000869394942804</v>
      </c>
      <c r="M27" s="7">
        <v>108.46768188476563</v>
      </c>
      <c r="N27" s="7">
        <f t="shared" si="1"/>
        <v>108.46768188476563</v>
      </c>
      <c r="O27" s="7">
        <v>7.2400000000000006E-2</v>
      </c>
      <c r="P27" s="7">
        <v>-0.64</v>
      </c>
      <c r="Q27" s="7">
        <v>-0.24</v>
      </c>
      <c r="S27">
        <v>201411</v>
      </c>
      <c r="T27" s="16">
        <v>84.380050659179688</v>
      </c>
      <c r="U27" s="13"/>
    </row>
    <row r="28" spans="1:21" x14ac:dyDescent="0.25">
      <c r="A28" s="4">
        <v>202304</v>
      </c>
      <c r="B28" s="4" t="s">
        <v>5</v>
      </c>
      <c r="C28" s="4" t="s">
        <v>6</v>
      </c>
      <c r="D28" s="4" t="s">
        <v>7</v>
      </c>
      <c r="E28" s="4">
        <v>71360</v>
      </c>
      <c r="F28" s="6">
        <v>778074</v>
      </c>
      <c r="G28" s="5">
        <v>1047440</v>
      </c>
      <c r="H28" s="11">
        <f t="shared" si="0"/>
        <v>0.74283395707630029</v>
      </c>
      <c r="I28" s="11">
        <v>0.75900000000000001</v>
      </c>
      <c r="J28" s="7">
        <v>0.24643319845199585</v>
      </c>
      <c r="K28" s="7">
        <v>533.79999999999995</v>
      </c>
      <c r="L28" s="10">
        <v>0.91336746983708805</v>
      </c>
      <c r="M28" s="7">
        <v>106.80965423583984</v>
      </c>
      <c r="N28" s="7">
        <f t="shared" si="1"/>
        <v>106.80965423583984</v>
      </c>
      <c r="O28" s="7">
        <v>1.12E-2</v>
      </c>
      <c r="P28" s="7">
        <v>-0.64</v>
      </c>
      <c r="Q28" s="7">
        <v>-0.24</v>
      </c>
      <c r="S28">
        <v>201412</v>
      </c>
      <c r="T28" s="16">
        <v>86.526222229003906</v>
      </c>
      <c r="U28" s="13"/>
    </row>
    <row r="29" spans="1:21" x14ac:dyDescent="0.25">
      <c r="A29" s="4">
        <v>202303</v>
      </c>
      <c r="B29" s="4" t="s">
        <v>5</v>
      </c>
      <c r="C29" s="4" t="s">
        <v>6</v>
      </c>
      <c r="D29" s="4" t="s">
        <v>7</v>
      </c>
      <c r="E29" s="4">
        <v>71360</v>
      </c>
      <c r="F29" s="6">
        <v>818649</v>
      </c>
      <c r="G29" s="5">
        <v>1275090</v>
      </c>
      <c r="H29" s="11">
        <f t="shared" si="0"/>
        <v>0.6420323271298497</v>
      </c>
      <c r="I29" s="11">
        <v>0.67549999999999999</v>
      </c>
      <c r="J29" s="7">
        <v>0.30663993954658508</v>
      </c>
      <c r="K29" s="7">
        <v>533.79999999999995</v>
      </c>
      <c r="L29" s="10">
        <v>0.79755215051458805</v>
      </c>
      <c r="M29" s="7">
        <v>105.37997436523438</v>
      </c>
      <c r="N29" s="7">
        <f t="shared" si="1"/>
        <v>105.37997436523438</v>
      </c>
      <c r="O29" s="7">
        <v>1.4E-2</v>
      </c>
      <c r="P29" s="7">
        <v>-0.64</v>
      </c>
      <c r="Q29" s="7">
        <v>-0.24</v>
      </c>
      <c r="S29">
        <v>201501</v>
      </c>
      <c r="T29" s="16">
        <v>111.98569488525391</v>
      </c>
      <c r="U29" s="13"/>
    </row>
    <row r="30" spans="1:21" x14ac:dyDescent="0.25">
      <c r="A30" s="4">
        <v>202302</v>
      </c>
      <c r="B30" s="4" t="s">
        <v>5</v>
      </c>
      <c r="C30" s="4" t="s">
        <v>6</v>
      </c>
      <c r="D30" s="4" t="s">
        <v>7</v>
      </c>
      <c r="E30" s="4">
        <v>71360</v>
      </c>
      <c r="F30" s="6">
        <v>2261945</v>
      </c>
      <c r="G30" s="5">
        <v>3800000</v>
      </c>
      <c r="H30" s="11">
        <f t="shared" si="0"/>
        <v>0.59524868421052635</v>
      </c>
      <c r="I30" s="11">
        <v>0.60029999999999994</v>
      </c>
      <c r="J30" s="7">
        <v>0.29352903366088867</v>
      </c>
      <c r="K30" s="7">
        <v>533.79999999999995</v>
      </c>
      <c r="L30" s="10">
        <v>0.958943745686344</v>
      </c>
      <c r="M30" s="7">
        <v>120.99437713623047</v>
      </c>
      <c r="N30" s="7">
        <f t="shared" si="1"/>
        <v>120.99437713623047</v>
      </c>
      <c r="O30" s="7">
        <v>3.4299999999999997E-2</v>
      </c>
      <c r="P30" s="7">
        <v>-0.64</v>
      </c>
      <c r="Q30" s="7">
        <v>-0.24</v>
      </c>
      <c r="S30">
        <v>201502</v>
      </c>
      <c r="T30" s="16">
        <v>111.92469787597656</v>
      </c>
      <c r="U30" s="13"/>
    </row>
    <row r="31" spans="1:21" x14ac:dyDescent="0.25">
      <c r="A31" s="4">
        <v>202301</v>
      </c>
      <c r="B31" s="4" t="s">
        <v>5</v>
      </c>
      <c r="C31" s="4" t="s">
        <v>6</v>
      </c>
      <c r="D31" s="4" t="s">
        <v>7</v>
      </c>
      <c r="E31" s="4">
        <v>71360</v>
      </c>
      <c r="F31" s="6">
        <v>3543458</v>
      </c>
      <c r="G31" s="5">
        <v>5270940</v>
      </c>
      <c r="H31" s="11">
        <f t="shared" si="0"/>
        <v>0.67226301191058901</v>
      </c>
      <c r="I31" s="11">
        <v>0.67689999999999995</v>
      </c>
      <c r="J31" s="7">
        <v>0.19585543870925903</v>
      </c>
      <c r="K31" s="7">
        <v>533.79999999999995</v>
      </c>
      <c r="L31" s="10">
        <v>0.94791958143912103</v>
      </c>
      <c r="M31" s="7">
        <v>104.26704406738281</v>
      </c>
      <c r="N31" s="7">
        <f t="shared" si="1"/>
        <v>104.26704406738281</v>
      </c>
      <c r="O31" s="7">
        <v>5.04E-2</v>
      </c>
      <c r="P31" s="7">
        <v>-0.64</v>
      </c>
      <c r="Q31" s="7">
        <v>-0.24</v>
      </c>
      <c r="S31">
        <v>201503</v>
      </c>
      <c r="T31" s="16">
        <v>104.23526763916016</v>
      </c>
      <c r="U31" s="13"/>
    </row>
    <row r="32" spans="1:21" x14ac:dyDescent="0.25">
      <c r="A32" s="4">
        <v>202212</v>
      </c>
      <c r="B32" s="4" t="s">
        <v>5</v>
      </c>
      <c r="C32" s="4" t="s">
        <v>6</v>
      </c>
      <c r="D32" s="4" t="s">
        <v>7</v>
      </c>
      <c r="E32" s="4">
        <v>71360</v>
      </c>
      <c r="F32" s="6">
        <v>8893376</v>
      </c>
      <c r="G32" s="5">
        <v>13895000</v>
      </c>
      <c r="H32" s="11">
        <f t="shared" si="0"/>
        <v>0.64004145376034549</v>
      </c>
      <c r="I32" s="11">
        <v>1.1183000000000001</v>
      </c>
      <c r="J32" s="7">
        <v>0.24796974658966064</v>
      </c>
      <c r="K32" s="7">
        <v>488.9</v>
      </c>
      <c r="L32" s="10">
        <v>0.97724874736578105</v>
      </c>
      <c r="M32" s="7">
        <v>111.19593811035156</v>
      </c>
      <c r="N32" s="7">
        <f t="shared" si="1"/>
        <v>111.19593811035156</v>
      </c>
      <c r="O32" s="7">
        <v>6.6299999999999998E-2</v>
      </c>
      <c r="P32" s="7">
        <v>-0.62</v>
      </c>
      <c r="Q32" s="7">
        <v>-0.16</v>
      </c>
      <c r="S32">
        <v>201504</v>
      </c>
      <c r="T32" s="16">
        <v>102.19049072265625</v>
      </c>
      <c r="U32" s="13"/>
    </row>
    <row r="33" spans="1:21" x14ac:dyDescent="0.25">
      <c r="A33" s="4">
        <v>202211</v>
      </c>
      <c r="B33" s="4" t="s">
        <v>5</v>
      </c>
      <c r="C33" s="4" t="s">
        <v>6</v>
      </c>
      <c r="D33" s="4" t="s">
        <v>7</v>
      </c>
      <c r="E33" s="4">
        <v>71360</v>
      </c>
      <c r="F33" s="6">
        <v>6500971</v>
      </c>
      <c r="G33" s="5">
        <v>10693500</v>
      </c>
      <c r="H33" s="11">
        <f t="shared" si="0"/>
        <v>0.60793669051292842</v>
      </c>
      <c r="I33" s="11">
        <v>0.60870000000000002</v>
      </c>
      <c r="J33" s="7">
        <v>0.29648211598396301</v>
      </c>
      <c r="K33" s="7">
        <v>488.9</v>
      </c>
      <c r="L33" s="10">
        <v>0.992728661506877</v>
      </c>
      <c r="M33" s="7">
        <v>116.71628570556641</v>
      </c>
      <c r="N33" s="7">
        <f t="shared" si="1"/>
        <v>116.71628570556641</v>
      </c>
      <c r="O33" s="7">
        <v>5.7500000000000002E-2</v>
      </c>
      <c r="P33" s="7">
        <v>-0.62</v>
      </c>
      <c r="Q33" s="7">
        <v>-0.16</v>
      </c>
      <c r="S33">
        <v>201505</v>
      </c>
      <c r="T33" s="16">
        <v>76.2623291015625</v>
      </c>
      <c r="U33" s="13"/>
    </row>
    <row r="34" spans="1:21" x14ac:dyDescent="0.25">
      <c r="A34" s="4">
        <v>202210</v>
      </c>
      <c r="B34" s="4" t="s">
        <v>5</v>
      </c>
      <c r="C34" s="4" t="s">
        <v>6</v>
      </c>
      <c r="D34" s="4" t="s">
        <v>7</v>
      </c>
      <c r="E34" s="4">
        <v>71360</v>
      </c>
      <c r="F34" s="6">
        <v>6351896</v>
      </c>
      <c r="G34" s="5">
        <v>10172500</v>
      </c>
      <c r="H34" s="11">
        <f t="shared" si="0"/>
        <v>0.62441838289506024</v>
      </c>
      <c r="I34" s="11">
        <v>0.62409999999999999</v>
      </c>
      <c r="J34" s="7">
        <v>0.30671361088752747</v>
      </c>
      <c r="K34" s="7">
        <v>488.9</v>
      </c>
      <c r="L34" s="10">
        <v>0.96195592830948395</v>
      </c>
      <c r="M34" s="7">
        <v>143.16241455078125</v>
      </c>
      <c r="N34" s="7">
        <f t="shared" si="1"/>
        <v>143.16241455078125</v>
      </c>
      <c r="O34" s="7">
        <v>8.43E-2</v>
      </c>
      <c r="P34" s="7">
        <v>-0.62</v>
      </c>
      <c r="Q34" s="7">
        <v>-0.16</v>
      </c>
      <c r="S34">
        <v>201506</v>
      </c>
      <c r="T34" s="16">
        <v>85.905967712402344</v>
      </c>
      <c r="U34" s="13"/>
    </row>
    <row r="35" spans="1:21" x14ac:dyDescent="0.25">
      <c r="A35" s="4">
        <v>202209</v>
      </c>
      <c r="B35" s="4" t="s">
        <v>5</v>
      </c>
      <c r="C35" s="4" t="s">
        <v>6</v>
      </c>
      <c r="D35" s="4" t="s">
        <v>7</v>
      </c>
      <c r="E35" s="4">
        <v>71360</v>
      </c>
      <c r="F35" s="6">
        <v>1948517</v>
      </c>
      <c r="G35" s="5">
        <v>3075000</v>
      </c>
      <c r="H35" s="11">
        <f t="shared" si="0"/>
        <v>0.63366406504065043</v>
      </c>
      <c r="I35" s="11">
        <v>0.60919999999999996</v>
      </c>
      <c r="J35" s="7">
        <v>0.50662738084793091</v>
      </c>
      <c r="K35" s="7">
        <v>488.9</v>
      </c>
      <c r="L35" s="10">
        <v>0.95596374385203098</v>
      </c>
      <c r="M35" s="7">
        <v>131.98587036132813</v>
      </c>
      <c r="N35" s="7">
        <f t="shared" si="1"/>
        <v>131.98587036132813</v>
      </c>
      <c r="O35" s="7">
        <v>4.7500000000000001E-2</v>
      </c>
      <c r="P35" s="7">
        <v>-0.62</v>
      </c>
      <c r="Q35" s="7">
        <v>-0.16</v>
      </c>
      <c r="S35">
        <v>201507</v>
      </c>
      <c r="T35" s="16">
        <v>106.80866241455078</v>
      </c>
      <c r="U35" s="13"/>
    </row>
    <row r="36" spans="1:21" x14ac:dyDescent="0.25">
      <c r="A36" s="4">
        <v>202208</v>
      </c>
      <c r="B36" s="4" t="s">
        <v>5</v>
      </c>
      <c r="C36" s="4" t="s">
        <v>6</v>
      </c>
      <c r="D36" s="4" t="s">
        <v>7</v>
      </c>
      <c r="E36" s="4">
        <v>71360</v>
      </c>
      <c r="F36" s="6">
        <v>2200684</v>
      </c>
      <c r="G36" s="5">
        <v>3250000</v>
      </c>
      <c r="H36" s="11">
        <f t="shared" si="0"/>
        <v>0.67713353846153845</v>
      </c>
      <c r="I36" s="11">
        <v>0.55359999999999998</v>
      </c>
      <c r="J36" s="7">
        <v>0.24869729578495026</v>
      </c>
      <c r="K36" s="7">
        <v>488.9</v>
      </c>
      <c r="L36" s="10">
        <v>0.91116350052955197</v>
      </c>
      <c r="M36" s="7">
        <v>132.86322021484375</v>
      </c>
      <c r="N36" s="7">
        <f t="shared" si="1"/>
        <v>132.86322021484375</v>
      </c>
      <c r="O36" s="7">
        <v>0.126</v>
      </c>
      <c r="P36" s="7">
        <v>-0.62</v>
      </c>
      <c r="Q36" s="7">
        <v>-0.16</v>
      </c>
      <c r="S36">
        <v>201508</v>
      </c>
      <c r="T36" s="16">
        <v>82.478530883789063</v>
      </c>
      <c r="U36" s="13"/>
    </row>
    <row r="37" spans="1:21" x14ac:dyDescent="0.25">
      <c r="A37" s="4">
        <v>202207</v>
      </c>
      <c r="B37" s="4" t="s">
        <v>5</v>
      </c>
      <c r="C37" s="4" t="s">
        <v>6</v>
      </c>
      <c r="D37" s="4" t="s">
        <v>7</v>
      </c>
      <c r="E37" s="4">
        <v>71360</v>
      </c>
      <c r="F37" s="6">
        <v>2084847</v>
      </c>
      <c r="G37" s="5">
        <v>3449640</v>
      </c>
      <c r="H37" s="11">
        <f t="shared" si="0"/>
        <v>0.60436654259574907</v>
      </c>
      <c r="I37" s="11">
        <v>0.61170000000000002</v>
      </c>
      <c r="J37" s="7">
        <v>0.27303358912467957</v>
      </c>
      <c r="K37" s="7">
        <v>488.9</v>
      </c>
      <c r="L37" s="10">
        <v>0.899653834403216</v>
      </c>
      <c r="M37" s="7">
        <v>117.17676544189453</v>
      </c>
      <c r="N37" s="7">
        <f t="shared" si="1"/>
        <v>117.17676544189453</v>
      </c>
      <c r="O37" s="7">
        <v>0.43070000000000003</v>
      </c>
      <c r="P37" s="7">
        <v>-0.62</v>
      </c>
      <c r="Q37" s="7">
        <v>-0.16</v>
      </c>
      <c r="S37">
        <v>201509</v>
      </c>
      <c r="T37" s="16">
        <v>98.7674560546875</v>
      </c>
      <c r="U37" s="13"/>
    </row>
    <row r="38" spans="1:21" x14ac:dyDescent="0.25">
      <c r="A38" s="4">
        <v>202206</v>
      </c>
      <c r="B38" s="4" t="s">
        <v>5</v>
      </c>
      <c r="C38" s="4" t="s">
        <v>6</v>
      </c>
      <c r="D38" s="4" t="s">
        <v>7</v>
      </c>
      <c r="E38" s="4">
        <v>71360</v>
      </c>
      <c r="F38" s="6">
        <v>2290048</v>
      </c>
      <c r="G38" s="5">
        <v>3400080</v>
      </c>
      <c r="H38" s="11">
        <f t="shared" si="0"/>
        <v>0.67352768170160704</v>
      </c>
      <c r="I38" s="11">
        <v>0.69589999999999996</v>
      </c>
      <c r="J38" s="7">
        <v>0.37673652172088623</v>
      </c>
      <c r="K38" s="7">
        <v>488.9</v>
      </c>
      <c r="L38" s="10">
        <v>0.92467825707051099</v>
      </c>
      <c r="M38" s="7">
        <v>130.70732116699219</v>
      </c>
      <c r="N38" s="7">
        <f t="shared" si="1"/>
        <v>130.70732116699219</v>
      </c>
      <c r="O38" s="7">
        <v>0.22170000000000001</v>
      </c>
      <c r="P38" s="7">
        <v>-0.62</v>
      </c>
      <c r="Q38" s="7">
        <v>-0.16</v>
      </c>
      <c r="S38">
        <v>201510</v>
      </c>
      <c r="T38" s="16">
        <v>91.931884765625</v>
      </c>
      <c r="U38" s="13"/>
    </row>
    <row r="39" spans="1:21" x14ac:dyDescent="0.25">
      <c r="A39" s="4">
        <v>202205</v>
      </c>
      <c r="B39" s="4" t="s">
        <v>5</v>
      </c>
      <c r="C39" s="4" t="s">
        <v>6</v>
      </c>
      <c r="D39" s="4" t="s">
        <v>7</v>
      </c>
      <c r="E39" s="4">
        <v>71360</v>
      </c>
      <c r="F39" s="6">
        <v>541166</v>
      </c>
      <c r="G39" s="5">
        <v>825000</v>
      </c>
      <c r="H39" s="11">
        <f t="shared" si="0"/>
        <v>0.65595878787878792</v>
      </c>
      <c r="I39" s="11">
        <v>0.69269999999999998</v>
      </c>
      <c r="J39" s="7">
        <v>0.35085734724998474</v>
      </c>
      <c r="K39" s="7">
        <v>488.9</v>
      </c>
      <c r="L39" s="10">
        <v>0.88632045805927495</v>
      </c>
      <c r="M39" s="7">
        <v>142.25848388671875</v>
      </c>
      <c r="N39" s="7">
        <f t="shared" si="1"/>
        <v>142.25848388671875</v>
      </c>
      <c r="O39" s="7">
        <v>0.1069</v>
      </c>
      <c r="P39" s="7">
        <v>-0.62</v>
      </c>
      <c r="Q39" s="7">
        <v>-0.16</v>
      </c>
      <c r="S39">
        <v>201511</v>
      </c>
      <c r="T39" s="16">
        <v>150.71588134765625</v>
      </c>
      <c r="U39" s="13"/>
    </row>
    <row r="40" spans="1:21" x14ac:dyDescent="0.25">
      <c r="A40" s="4">
        <v>202204</v>
      </c>
      <c r="B40" s="4" t="s">
        <v>5</v>
      </c>
      <c r="C40" s="4" t="s">
        <v>6</v>
      </c>
      <c r="D40" s="4" t="s">
        <v>7</v>
      </c>
      <c r="E40" s="4">
        <v>71360</v>
      </c>
      <c r="F40" s="6">
        <v>1822046</v>
      </c>
      <c r="G40" s="5">
        <v>2724950</v>
      </c>
      <c r="H40" s="11">
        <f t="shared" si="0"/>
        <v>0.66865300280739093</v>
      </c>
      <c r="I40" s="11">
        <v>0.66579999999999995</v>
      </c>
      <c r="J40" s="7">
        <v>0.41409075260162354</v>
      </c>
      <c r="K40" s="7">
        <v>488.9</v>
      </c>
      <c r="L40" s="10">
        <v>0.96093998865043495</v>
      </c>
      <c r="M40" s="7">
        <v>191.14309692382813</v>
      </c>
      <c r="N40" s="7">
        <f t="shared" si="1"/>
        <v>191.14309692382813</v>
      </c>
      <c r="O40" s="7">
        <v>4.5400000000000003E-2</v>
      </c>
      <c r="P40" s="7">
        <v>-0.62</v>
      </c>
      <c r="Q40" s="7">
        <v>-0.16</v>
      </c>
      <c r="S40">
        <v>201512</v>
      </c>
      <c r="T40" s="16">
        <v>148.23687744140625</v>
      </c>
      <c r="U40" s="13"/>
    </row>
    <row r="41" spans="1:21" x14ac:dyDescent="0.25">
      <c r="A41" s="4">
        <v>202203</v>
      </c>
      <c r="B41" s="4" t="s">
        <v>5</v>
      </c>
      <c r="C41" s="4" t="s">
        <v>6</v>
      </c>
      <c r="D41" s="4" t="s">
        <v>7</v>
      </c>
      <c r="E41" s="4">
        <v>71360</v>
      </c>
      <c r="F41" s="6">
        <v>2684677</v>
      </c>
      <c r="G41" s="5">
        <v>4178940</v>
      </c>
      <c r="H41" s="11">
        <f t="shared" si="0"/>
        <v>0.64243013778613711</v>
      </c>
      <c r="I41" s="11">
        <v>0.67190000000000005</v>
      </c>
      <c r="J41" s="7">
        <v>0.46701973676681519</v>
      </c>
      <c r="K41" s="7">
        <v>488.9</v>
      </c>
      <c r="L41" s="10">
        <v>0.86057683215129999</v>
      </c>
      <c r="M41" s="7">
        <v>318.95492553710938</v>
      </c>
      <c r="N41" s="7">
        <f t="shared" si="1"/>
        <v>318.95492553710938</v>
      </c>
      <c r="O41" s="7">
        <v>5.1499999999999997E-2</v>
      </c>
      <c r="P41" s="7">
        <v>-0.62</v>
      </c>
      <c r="Q41" s="7">
        <v>-0.16</v>
      </c>
      <c r="S41">
        <v>201601</v>
      </c>
      <c r="T41" s="16">
        <v>118.21114349365234</v>
      </c>
      <c r="U41" s="13"/>
    </row>
    <row r="42" spans="1:21" x14ac:dyDescent="0.25">
      <c r="A42" s="4">
        <v>202202</v>
      </c>
      <c r="B42" s="4" t="s">
        <v>5</v>
      </c>
      <c r="C42" s="4" t="s">
        <v>6</v>
      </c>
      <c r="D42" s="4" t="s">
        <v>7</v>
      </c>
      <c r="E42" s="4">
        <v>71360</v>
      </c>
      <c r="F42" s="6">
        <v>3239186</v>
      </c>
      <c r="G42" s="5">
        <v>4945410</v>
      </c>
      <c r="H42" s="11">
        <f t="shared" si="0"/>
        <v>0.65498836294665153</v>
      </c>
      <c r="I42" s="11">
        <v>0.66269999999999996</v>
      </c>
      <c r="J42" s="7">
        <v>0.17114667594432831</v>
      </c>
      <c r="K42" s="7">
        <v>488.9</v>
      </c>
      <c r="L42" s="10">
        <v>0.97030596882138698</v>
      </c>
      <c r="M42" s="7">
        <v>216.15901184082031</v>
      </c>
      <c r="N42" s="7">
        <f t="shared" si="1"/>
        <v>216.15901184082031</v>
      </c>
      <c r="O42" s="7">
        <v>5.6500000000000002E-2</v>
      </c>
      <c r="P42" s="7">
        <v>-0.62</v>
      </c>
      <c r="Q42" s="7">
        <v>-0.16</v>
      </c>
      <c r="S42">
        <v>201602</v>
      </c>
      <c r="T42" s="16">
        <v>103.74964904785156</v>
      </c>
      <c r="U42" s="13"/>
    </row>
    <row r="43" spans="1:21" x14ac:dyDescent="0.25">
      <c r="A43" s="4">
        <v>202201</v>
      </c>
      <c r="B43" s="4" t="s">
        <v>5</v>
      </c>
      <c r="C43" s="4" t="s">
        <v>6</v>
      </c>
      <c r="D43" s="4" t="s">
        <v>7</v>
      </c>
      <c r="E43" s="4">
        <v>71360</v>
      </c>
      <c r="F43" s="6">
        <v>2470296</v>
      </c>
      <c r="G43" s="5">
        <v>3691970</v>
      </c>
      <c r="H43" s="11">
        <f t="shared" si="0"/>
        <v>0.66909969474291497</v>
      </c>
      <c r="I43" s="11">
        <v>0.64880000000000004</v>
      </c>
      <c r="J43" s="7">
        <v>0.21815009415149689</v>
      </c>
      <c r="K43" s="7">
        <v>488.9</v>
      </c>
      <c r="L43" s="10">
        <v>0.92309072035047801</v>
      </c>
      <c r="M43" s="7">
        <v>138.67498779296875</v>
      </c>
      <c r="N43" s="7">
        <f t="shared" si="1"/>
        <v>138.67498779296875</v>
      </c>
      <c r="O43" s="7">
        <v>3.2300000000000002E-2</v>
      </c>
      <c r="P43" s="7">
        <v>-0.62</v>
      </c>
      <c r="Q43" s="7">
        <v>-0.16</v>
      </c>
      <c r="S43">
        <v>201603</v>
      </c>
      <c r="T43" s="16">
        <v>109.72029113769531</v>
      </c>
      <c r="U43" s="13"/>
    </row>
    <row r="44" spans="1:21" x14ac:dyDescent="0.25">
      <c r="A44" s="4">
        <v>202112</v>
      </c>
      <c r="B44" s="4" t="s">
        <v>5</v>
      </c>
      <c r="C44" s="4" t="s">
        <v>6</v>
      </c>
      <c r="D44" s="4" t="s">
        <v>7</v>
      </c>
      <c r="E44" s="4">
        <v>71360</v>
      </c>
      <c r="F44" s="6">
        <v>11259548</v>
      </c>
      <c r="G44" s="5">
        <v>17374100</v>
      </c>
      <c r="H44" s="11">
        <f t="shared" si="0"/>
        <v>0.64806510840849307</v>
      </c>
      <c r="I44" s="11">
        <v>0.65080000000000005</v>
      </c>
      <c r="J44" s="7">
        <v>0.14811158180236816</v>
      </c>
      <c r="K44" s="7">
        <v>576.5</v>
      </c>
      <c r="L44" s="10">
        <v>0.99108655261613299</v>
      </c>
      <c r="M44" s="7">
        <v>105.34542083740234</v>
      </c>
      <c r="N44" s="7">
        <f t="shared" si="1"/>
        <v>105.34542083740234</v>
      </c>
      <c r="O44" s="7">
        <v>0.14180000000000001</v>
      </c>
      <c r="P44" s="7">
        <v>-0.69</v>
      </c>
      <c r="Q44" s="7">
        <v>-0.11</v>
      </c>
      <c r="S44">
        <v>201604</v>
      </c>
      <c r="T44" s="16">
        <v>85.221450805664063</v>
      </c>
      <c r="U44" s="13"/>
    </row>
    <row r="45" spans="1:21" x14ac:dyDescent="0.25">
      <c r="A45" s="4">
        <v>202111</v>
      </c>
      <c r="B45" s="4" t="s">
        <v>5</v>
      </c>
      <c r="C45" s="4" t="s">
        <v>6</v>
      </c>
      <c r="D45" s="4" t="s">
        <v>7</v>
      </c>
      <c r="E45" s="4">
        <v>71360</v>
      </c>
      <c r="F45" s="6">
        <v>5230009</v>
      </c>
      <c r="G45" s="5">
        <v>7921920</v>
      </c>
      <c r="H45" s="11">
        <f t="shared" si="0"/>
        <v>0.66019462453546618</v>
      </c>
      <c r="I45" s="11">
        <v>0.66459999999999997</v>
      </c>
      <c r="J45" s="7">
        <v>0.15636105835437775</v>
      </c>
      <c r="K45" s="7">
        <v>576.5</v>
      </c>
      <c r="L45" s="10">
        <v>0.97654758719406598</v>
      </c>
      <c r="M45" s="7">
        <v>86.569145202636719</v>
      </c>
      <c r="N45" s="7">
        <f t="shared" si="1"/>
        <v>86.569145202636719</v>
      </c>
      <c r="O45" s="7">
        <v>7.2900000000000006E-2</v>
      </c>
      <c r="P45" s="7">
        <v>-0.69</v>
      </c>
      <c r="Q45" s="7">
        <v>-0.11</v>
      </c>
      <c r="S45">
        <v>201605</v>
      </c>
      <c r="T45" s="16">
        <v>88.332420349121094</v>
      </c>
      <c r="U45" s="13"/>
    </row>
    <row r="46" spans="1:21" x14ac:dyDescent="0.25">
      <c r="A46" s="4">
        <v>202110</v>
      </c>
      <c r="B46" s="4" t="s">
        <v>5</v>
      </c>
      <c r="C46" s="4" t="s">
        <v>6</v>
      </c>
      <c r="D46" s="4" t="s">
        <v>7</v>
      </c>
      <c r="E46" s="4">
        <v>71360</v>
      </c>
      <c r="F46" s="6">
        <v>11112431</v>
      </c>
      <c r="G46" s="5">
        <v>9302371</v>
      </c>
      <c r="H46" s="11">
        <f t="shared" si="0"/>
        <v>1.194580499960709</v>
      </c>
      <c r="I46" s="11">
        <v>1.1836</v>
      </c>
      <c r="J46" s="7">
        <v>0.25541067123413086</v>
      </c>
      <c r="K46" s="7">
        <v>576.5</v>
      </c>
      <c r="L46" s="10">
        <v>0.98737353543495698</v>
      </c>
      <c r="M46" s="7">
        <v>79.02923583984375</v>
      </c>
      <c r="N46" s="7">
        <f t="shared" si="1"/>
        <v>79.02923583984375</v>
      </c>
      <c r="O46" s="7">
        <v>8.2699999999999996E-2</v>
      </c>
      <c r="P46" s="7">
        <v>-0.69</v>
      </c>
      <c r="Q46" s="7">
        <v>-0.11</v>
      </c>
      <c r="S46">
        <v>201606</v>
      </c>
      <c r="T46" s="16">
        <v>90.168128967285156</v>
      </c>
      <c r="U46" s="13"/>
    </row>
    <row r="47" spans="1:21" x14ac:dyDescent="0.25">
      <c r="A47" s="4">
        <v>202109</v>
      </c>
      <c r="B47" s="4" t="s">
        <v>5</v>
      </c>
      <c r="C47" s="4" t="s">
        <v>6</v>
      </c>
      <c r="D47" s="4" t="s">
        <v>7</v>
      </c>
      <c r="E47" s="4">
        <v>71360</v>
      </c>
      <c r="F47" s="6">
        <v>1237786</v>
      </c>
      <c r="G47" s="5">
        <v>1775000</v>
      </c>
      <c r="H47" s="11">
        <f t="shared" si="0"/>
        <v>0.69734422535211271</v>
      </c>
      <c r="I47" s="11">
        <v>0.70209999999999995</v>
      </c>
      <c r="J47" s="7">
        <v>0.43071159720420837</v>
      </c>
      <c r="K47" s="7">
        <v>576.5</v>
      </c>
      <c r="L47" s="10">
        <v>0.78444452612753202</v>
      </c>
      <c r="M47" s="7">
        <v>80.696968078613281</v>
      </c>
      <c r="N47" s="7">
        <f t="shared" si="1"/>
        <v>80.696968078613281</v>
      </c>
      <c r="O47" s="7">
        <v>2.3199999999999998E-2</v>
      </c>
      <c r="P47" s="7">
        <v>-0.69</v>
      </c>
      <c r="Q47" s="7">
        <v>-0.11</v>
      </c>
      <c r="S47">
        <v>201607</v>
      </c>
      <c r="T47" s="16">
        <v>114.61045074462891</v>
      </c>
      <c r="U47" s="13"/>
    </row>
    <row r="48" spans="1:21" x14ac:dyDescent="0.25">
      <c r="A48" s="4">
        <v>202108</v>
      </c>
      <c r="B48" s="4" t="s">
        <v>5</v>
      </c>
      <c r="C48" s="4" t="s">
        <v>6</v>
      </c>
      <c r="D48" s="4" t="s">
        <v>7</v>
      </c>
      <c r="E48" s="4">
        <v>71360</v>
      </c>
      <c r="F48" s="6">
        <v>3504075</v>
      </c>
      <c r="G48" s="5">
        <v>3687050</v>
      </c>
      <c r="H48" s="11">
        <f t="shared" si="0"/>
        <v>0.95037360491449807</v>
      </c>
      <c r="I48" s="11">
        <v>0.95289999999999997</v>
      </c>
      <c r="J48" s="7">
        <v>0.14482259750366211</v>
      </c>
      <c r="K48" s="7">
        <v>576.5</v>
      </c>
      <c r="L48" s="10">
        <v>0.99008411296550103</v>
      </c>
      <c r="M48" s="7">
        <v>89.486549377441406</v>
      </c>
      <c r="N48" s="7">
        <f t="shared" si="1"/>
        <v>89.486549377441406</v>
      </c>
      <c r="O48" s="7">
        <v>6.4000000000000001E-2</v>
      </c>
      <c r="P48" s="7">
        <v>-0.69</v>
      </c>
      <c r="Q48" s="7">
        <v>-0.11</v>
      </c>
      <c r="S48">
        <v>201608</v>
      </c>
      <c r="T48" s="16">
        <v>98.738487243652344</v>
      </c>
      <c r="U48" s="13"/>
    </row>
    <row r="49" spans="1:21" x14ac:dyDescent="0.25">
      <c r="A49" s="4">
        <v>202107</v>
      </c>
      <c r="B49" s="4" t="s">
        <v>5</v>
      </c>
      <c r="C49" s="4" t="s">
        <v>6</v>
      </c>
      <c r="D49" s="4" t="s">
        <v>7</v>
      </c>
      <c r="E49" s="4">
        <v>71360</v>
      </c>
      <c r="F49" s="6">
        <v>79935</v>
      </c>
      <c r="G49" s="5">
        <v>125000</v>
      </c>
      <c r="H49" s="11">
        <f t="shared" si="0"/>
        <v>0.63948000000000005</v>
      </c>
      <c r="I49" s="11">
        <v>0.89159999999999995</v>
      </c>
      <c r="J49" s="7">
        <v>0.17029666900634766</v>
      </c>
      <c r="K49" s="7">
        <v>576.5</v>
      </c>
      <c r="L49" s="10">
        <v>0.40061644865433699</v>
      </c>
      <c r="M49" s="7">
        <v>58.420768737792969</v>
      </c>
      <c r="N49" s="7">
        <f t="shared" si="1"/>
        <v>58.420768737792969</v>
      </c>
      <c r="O49" s="7">
        <v>2.3999999999999998E-3</v>
      </c>
      <c r="P49" s="7">
        <v>-0.69</v>
      </c>
      <c r="Q49" s="7">
        <v>-0.11</v>
      </c>
      <c r="S49">
        <v>201609</v>
      </c>
      <c r="T49" s="16">
        <v>104.54522705078125</v>
      </c>
      <c r="U49" s="13"/>
    </row>
    <row r="50" spans="1:21" x14ac:dyDescent="0.25">
      <c r="A50" s="4">
        <v>202106</v>
      </c>
      <c r="B50" s="4" t="s">
        <v>5</v>
      </c>
      <c r="C50" s="4" t="s">
        <v>6</v>
      </c>
      <c r="D50" s="4" t="s">
        <v>7</v>
      </c>
      <c r="E50" s="4">
        <v>71360</v>
      </c>
      <c r="F50" s="6">
        <v>838724</v>
      </c>
      <c r="G50" s="5">
        <v>1100000</v>
      </c>
      <c r="H50" s="11">
        <f t="shared" si="0"/>
        <v>0.76247636363636362</v>
      </c>
      <c r="I50" s="11">
        <v>0.83809999999999996</v>
      </c>
      <c r="J50" s="7">
        <v>0.18566654622554779</v>
      </c>
      <c r="K50" s="7">
        <v>576.5</v>
      </c>
      <c r="L50" s="10">
        <v>0.76869722059796597</v>
      </c>
      <c r="M50" s="7">
        <v>74.127120971679688</v>
      </c>
      <c r="N50" s="7">
        <f t="shared" si="1"/>
        <v>74.127120971679688</v>
      </c>
      <c r="O50" s="7">
        <v>5.7099999999999998E-2</v>
      </c>
      <c r="P50" s="7">
        <v>-0.69</v>
      </c>
      <c r="Q50" s="7">
        <v>-0.11</v>
      </c>
      <c r="S50">
        <v>201610</v>
      </c>
      <c r="T50" s="16">
        <v>85.747787475585938</v>
      </c>
      <c r="U50" s="13"/>
    </row>
    <row r="51" spans="1:21" x14ac:dyDescent="0.25">
      <c r="A51" s="4">
        <v>202102</v>
      </c>
      <c r="B51" s="4" t="s">
        <v>5</v>
      </c>
      <c r="C51" s="4" t="s">
        <v>6</v>
      </c>
      <c r="D51" s="4" t="s">
        <v>7</v>
      </c>
      <c r="E51" s="4">
        <v>71360</v>
      </c>
      <c r="F51" s="6">
        <v>506459</v>
      </c>
      <c r="G51" s="5">
        <v>750000</v>
      </c>
      <c r="H51" s="11">
        <f t="shared" si="0"/>
        <v>0.67527866666666669</v>
      </c>
      <c r="I51" s="11">
        <v>0.61639999999999995</v>
      </c>
      <c r="J51" s="7">
        <v>0.14015078544616699</v>
      </c>
      <c r="K51" s="7">
        <v>576.5</v>
      </c>
      <c r="L51" s="10">
        <v>0.225161538140072</v>
      </c>
      <c r="M51" s="7">
        <v>73.956802368164063</v>
      </c>
      <c r="N51" s="7">
        <f t="shared" si="1"/>
        <v>73.956802368164063</v>
      </c>
      <c r="O51" s="7">
        <v>6.5600000000000006E-2</v>
      </c>
      <c r="P51" s="7">
        <v>-0.69</v>
      </c>
      <c r="Q51" s="7">
        <v>-0.11</v>
      </c>
      <c r="S51">
        <v>201611</v>
      </c>
      <c r="T51" s="16">
        <v>82.918754577636719</v>
      </c>
      <c r="U51" s="13"/>
    </row>
    <row r="52" spans="1:21" x14ac:dyDescent="0.25">
      <c r="A52" s="4">
        <v>202012</v>
      </c>
      <c r="B52" s="4" t="s">
        <v>5</v>
      </c>
      <c r="C52" s="4" t="s">
        <v>6</v>
      </c>
      <c r="D52" s="4" t="s">
        <v>7</v>
      </c>
      <c r="E52" s="4">
        <v>71360</v>
      </c>
      <c r="F52" s="6">
        <v>106591</v>
      </c>
      <c r="G52" s="5">
        <v>150000</v>
      </c>
      <c r="H52" s="11">
        <f t="shared" si="0"/>
        <v>0.71060666666666672</v>
      </c>
      <c r="I52" s="11">
        <v>0.67490000000000006</v>
      </c>
      <c r="J52" s="7">
        <v>0.11803588271141052</v>
      </c>
      <c r="K52" s="7">
        <v>595.5</v>
      </c>
      <c r="L52" s="10">
        <v>8.2674954509423096E-2</v>
      </c>
      <c r="M52" s="7">
        <v>64.067291259765625</v>
      </c>
      <c r="N52" s="7">
        <f t="shared" si="1"/>
        <v>64.067291259765625</v>
      </c>
      <c r="O52" s="7">
        <v>8.0000000000000002E-3</v>
      </c>
      <c r="P52" s="7">
        <v>-0.84</v>
      </c>
      <c r="Q52" s="7">
        <v>-0.12</v>
      </c>
      <c r="S52">
        <v>201612</v>
      </c>
      <c r="T52" s="16">
        <v>102.18046569824219</v>
      </c>
      <c r="U52" s="13"/>
    </row>
    <row r="53" spans="1:21" x14ac:dyDescent="0.25">
      <c r="A53" s="4">
        <v>202011</v>
      </c>
      <c r="B53" s="4" t="s">
        <v>5</v>
      </c>
      <c r="C53" s="4" t="s">
        <v>6</v>
      </c>
      <c r="D53" s="4" t="s">
        <v>7</v>
      </c>
      <c r="E53" s="4">
        <v>71360</v>
      </c>
      <c r="F53" s="6">
        <v>979855</v>
      </c>
      <c r="G53" s="5">
        <v>1508000</v>
      </c>
      <c r="H53" s="11">
        <f t="shared" si="0"/>
        <v>0.64977122015915123</v>
      </c>
      <c r="I53" s="11">
        <v>0.65749999999999997</v>
      </c>
      <c r="J53" s="7">
        <v>0.18354517221450806</v>
      </c>
      <c r="K53" s="7">
        <v>595.5</v>
      </c>
      <c r="L53" s="10">
        <v>0.92108775881226002</v>
      </c>
      <c r="M53" s="7">
        <v>70.067466735839844</v>
      </c>
      <c r="N53" s="7">
        <f t="shared" si="1"/>
        <v>70.067466735839844</v>
      </c>
      <c r="O53" s="7">
        <v>1.0699999999999999E-2</v>
      </c>
      <c r="P53" s="7">
        <v>-0.84</v>
      </c>
      <c r="Q53" s="7">
        <v>-0.12</v>
      </c>
      <c r="S53">
        <v>201701</v>
      </c>
      <c r="T53" s="16">
        <v>105.20123291015625</v>
      </c>
      <c r="U53" s="13"/>
    </row>
    <row r="54" spans="1:21" x14ac:dyDescent="0.25">
      <c r="A54" s="4">
        <v>201911</v>
      </c>
      <c r="B54" s="4" t="s">
        <v>5</v>
      </c>
      <c r="C54" s="4" t="s">
        <v>6</v>
      </c>
      <c r="D54" s="4" t="s">
        <v>7</v>
      </c>
      <c r="E54" s="4">
        <v>71360</v>
      </c>
      <c r="F54" s="6">
        <v>8637255</v>
      </c>
      <c r="G54" s="5">
        <v>13956000</v>
      </c>
      <c r="H54" s="11">
        <f t="shared" si="0"/>
        <v>0.61889187446259675</v>
      </c>
      <c r="I54" s="11">
        <v>0.62380000000000002</v>
      </c>
      <c r="J54" s="7">
        <v>7.9225353896617889E-2</v>
      </c>
      <c r="K54" s="7">
        <v>569.4</v>
      </c>
      <c r="L54" s="10">
        <v>0.94972290945076698</v>
      </c>
      <c r="M54" s="7">
        <v>73.078384399414063</v>
      </c>
      <c r="N54" s="7">
        <f t="shared" si="1"/>
        <v>73.078384399414063</v>
      </c>
      <c r="O54" s="7">
        <v>0.14280000000000001</v>
      </c>
      <c r="P54" s="7">
        <v>-0.8</v>
      </c>
      <c r="Q54" s="7">
        <v>-0.28999999999999998</v>
      </c>
      <c r="S54">
        <v>201702</v>
      </c>
      <c r="T54" s="16">
        <v>114.20635986328125</v>
      </c>
      <c r="U54" s="13"/>
    </row>
    <row r="55" spans="1:21" x14ac:dyDescent="0.25">
      <c r="A55" s="4">
        <v>201910</v>
      </c>
      <c r="B55" s="4" t="s">
        <v>5</v>
      </c>
      <c r="C55" s="4" t="s">
        <v>6</v>
      </c>
      <c r="D55" s="4" t="s">
        <v>7</v>
      </c>
      <c r="E55" s="4">
        <v>71360</v>
      </c>
      <c r="F55" s="6">
        <v>8197805</v>
      </c>
      <c r="G55" s="5">
        <v>13547000</v>
      </c>
      <c r="H55" s="11">
        <f t="shared" si="0"/>
        <v>0.60513803794197973</v>
      </c>
      <c r="I55" s="11">
        <v>0.6069</v>
      </c>
      <c r="J55" s="7">
        <v>0.1681661456823349</v>
      </c>
      <c r="K55" s="7">
        <v>569.4</v>
      </c>
      <c r="L55" s="10">
        <v>0.98743156893093897</v>
      </c>
      <c r="M55" s="7">
        <v>97.83673095703125</v>
      </c>
      <c r="N55" s="7">
        <f t="shared" si="1"/>
        <v>97.83673095703125</v>
      </c>
      <c r="O55" s="7">
        <v>0.1177</v>
      </c>
      <c r="P55" s="7">
        <v>-0.8</v>
      </c>
      <c r="Q55" s="7">
        <v>-0.28999999999999998</v>
      </c>
      <c r="S55">
        <v>201703</v>
      </c>
      <c r="T55" s="16">
        <v>96.635879516601563</v>
      </c>
      <c r="U55" s="13"/>
    </row>
    <row r="56" spans="1:21" x14ac:dyDescent="0.25">
      <c r="A56" s="4">
        <v>201909</v>
      </c>
      <c r="B56" s="4" t="s">
        <v>5</v>
      </c>
      <c r="C56" s="4" t="s">
        <v>6</v>
      </c>
      <c r="D56" s="4" t="s">
        <v>7</v>
      </c>
      <c r="E56" s="4">
        <v>71360</v>
      </c>
      <c r="F56" s="6">
        <v>2842758</v>
      </c>
      <c r="G56" s="5">
        <v>4818000</v>
      </c>
      <c r="H56" s="11">
        <f t="shared" si="0"/>
        <v>0.59002864259028642</v>
      </c>
      <c r="I56" s="11">
        <v>0.59509999999999996</v>
      </c>
      <c r="J56" s="7">
        <v>0.15501129627227783</v>
      </c>
      <c r="K56" s="7">
        <v>569.4</v>
      </c>
      <c r="L56" s="10">
        <v>0.960337035038901</v>
      </c>
      <c r="M56" s="7">
        <v>90.367988586425781</v>
      </c>
      <c r="N56" s="7">
        <f t="shared" si="1"/>
        <v>90.367988586425781</v>
      </c>
      <c r="O56" s="7">
        <v>9.1300000000000006E-2</v>
      </c>
      <c r="P56" s="7">
        <v>-0.8</v>
      </c>
      <c r="Q56" s="7">
        <v>-0.28999999999999998</v>
      </c>
      <c r="S56">
        <v>201704</v>
      </c>
      <c r="T56" s="16">
        <v>119.45992279052734</v>
      </c>
      <c r="U56" s="13"/>
    </row>
    <row r="57" spans="1:21" x14ac:dyDescent="0.25">
      <c r="A57" s="4">
        <v>201908</v>
      </c>
      <c r="B57" s="4" t="s">
        <v>5</v>
      </c>
      <c r="C57" s="4" t="s">
        <v>6</v>
      </c>
      <c r="D57" s="4" t="s">
        <v>7</v>
      </c>
      <c r="E57" s="4">
        <v>71360</v>
      </c>
      <c r="F57" s="6">
        <v>2816675</v>
      </c>
      <c r="G57" s="5">
        <v>4555000</v>
      </c>
      <c r="H57" s="11">
        <f t="shared" si="0"/>
        <v>0.61836992316136119</v>
      </c>
      <c r="I57" s="11">
        <v>0.63239999999999996</v>
      </c>
      <c r="J57" s="7">
        <v>0.34510219097137451</v>
      </c>
      <c r="K57" s="7">
        <v>569.4</v>
      </c>
      <c r="L57" s="10">
        <v>0.89274451249003905</v>
      </c>
      <c r="M57" s="7">
        <v>103.4044189453125</v>
      </c>
      <c r="N57" s="7">
        <f t="shared" si="1"/>
        <v>103.4044189453125</v>
      </c>
      <c r="O57" s="7">
        <v>0.12659999999999999</v>
      </c>
      <c r="P57" s="7">
        <v>-0.8</v>
      </c>
      <c r="Q57" s="7">
        <v>-0.28999999999999998</v>
      </c>
      <c r="S57">
        <v>201705</v>
      </c>
      <c r="T57" s="16">
        <v>102.57996368408203</v>
      </c>
      <c r="U57" s="13"/>
    </row>
    <row r="58" spans="1:21" x14ac:dyDescent="0.25">
      <c r="A58" s="4">
        <v>201907</v>
      </c>
      <c r="B58" s="4" t="s">
        <v>5</v>
      </c>
      <c r="C58" s="4" t="s">
        <v>6</v>
      </c>
      <c r="D58" s="4" t="s">
        <v>7</v>
      </c>
      <c r="E58" s="4">
        <v>71360</v>
      </c>
      <c r="F58" s="6">
        <v>1520952</v>
      </c>
      <c r="G58" s="5">
        <v>2500000</v>
      </c>
      <c r="H58" s="11">
        <f t="shared" si="0"/>
        <v>0.60838080000000005</v>
      </c>
      <c r="I58" s="11">
        <v>0.62039999999999995</v>
      </c>
      <c r="J58" s="7">
        <v>0.17255109548568726</v>
      </c>
      <c r="K58" s="7">
        <v>569.4</v>
      </c>
      <c r="L58" s="10">
        <v>0.78180159295174101</v>
      </c>
      <c r="M58" s="7">
        <v>93.521255493164063</v>
      </c>
      <c r="N58" s="7">
        <f t="shared" si="1"/>
        <v>93.521255493164063</v>
      </c>
      <c r="O58" s="7">
        <v>0.1351</v>
      </c>
      <c r="P58" s="7">
        <v>-0.8</v>
      </c>
      <c r="Q58" s="7">
        <v>-0.28999999999999998</v>
      </c>
      <c r="S58">
        <v>201706</v>
      </c>
      <c r="T58" s="16">
        <v>126.78901672363281</v>
      </c>
      <c r="U58" s="13"/>
    </row>
    <row r="59" spans="1:21" x14ac:dyDescent="0.25">
      <c r="A59" s="4">
        <v>201906</v>
      </c>
      <c r="B59" s="4" t="s">
        <v>5</v>
      </c>
      <c r="C59" s="4" t="s">
        <v>6</v>
      </c>
      <c r="D59" s="4" t="s">
        <v>7</v>
      </c>
      <c r="E59" s="4">
        <v>71360</v>
      </c>
      <c r="F59" s="6">
        <v>30372</v>
      </c>
      <c r="G59" s="5">
        <v>50000</v>
      </c>
      <c r="H59" s="11">
        <f t="shared" si="0"/>
        <v>0.60743999999999998</v>
      </c>
      <c r="I59" s="11">
        <v>0.5464</v>
      </c>
      <c r="J59" s="7">
        <v>0.20709292590618134</v>
      </c>
      <c r="K59" s="7">
        <v>569.4</v>
      </c>
      <c r="L59" s="10">
        <v>0.123737044521217</v>
      </c>
      <c r="M59" s="7">
        <v>106.58845520019531</v>
      </c>
      <c r="N59" s="7">
        <f t="shared" si="1"/>
        <v>106.58845520019531</v>
      </c>
      <c r="O59" s="7">
        <v>4.0000000000000001E-3</v>
      </c>
      <c r="P59" s="7">
        <v>-0.8</v>
      </c>
      <c r="Q59" s="7">
        <v>-0.28999999999999998</v>
      </c>
      <c r="S59">
        <v>201707</v>
      </c>
      <c r="T59" s="16">
        <v>102.81346130371094</v>
      </c>
      <c r="U59" s="13"/>
    </row>
    <row r="60" spans="1:21" x14ac:dyDescent="0.25">
      <c r="A60" s="4">
        <v>201905</v>
      </c>
      <c r="B60" s="4" t="s">
        <v>5</v>
      </c>
      <c r="C60" s="4" t="s">
        <v>6</v>
      </c>
      <c r="D60" s="4" t="s">
        <v>7</v>
      </c>
      <c r="E60" s="4">
        <v>71360</v>
      </c>
      <c r="F60" s="6">
        <v>1826925</v>
      </c>
      <c r="G60" s="5">
        <v>3000000</v>
      </c>
      <c r="H60" s="11">
        <f t="shared" si="0"/>
        <v>0.60897500000000004</v>
      </c>
      <c r="I60" s="11">
        <v>0.60209999999999997</v>
      </c>
      <c r="J60" s="7">
        <v>0.26218515634536743</v>
      </c>
      <c r="K60" s="7">
        <v>569.4</v>
      </c>
      <c r="L60" s="10">
        <v>0.93629498961679503</v>
      </c>
      <c r="M60" s="7">
        <v>106.47190093994141</v>
      </c>
      <c r="N60" s="7">
        <f t="shared" si="1"/>
        <v>106.47190093994141</v>
      </c>
      <c r="O60" s="7">
        <v>0.35780000000000001</v>
      </c>
      <c r="P60" s="7">
        <v>-0.8</v>
      </c>
      <c r="Q60" s="7">
        <v>-0.28999999999999998</v>
      </c>
      <c r="S60">
        <v>201708</v>
      </c>
      <c r="T60" s="16">
        <v>138.5316162109375</v>
      </c>
      <c r="U60" s="13"/>
    </row>
    <row r="61" spans="1:21" x14ac:dyDescent="0.25">
      <c r="A61" s="4">
        <v>201904</v>
      </c>
      <c r="B61" s="4" t="s">
        <v>5</v>
      </c>
      <c r="C61" s="4" t="s">
        <v>6</v>
      </c>
      <c r="D61" s="4" t="s">
        <v>7</v>
      </c>
      <c r="E61" s="4">
        <v>71360</v>
      </c>
      <c r="F61" s="6">
        <v>1951952</v>
      </c>
      <c r="G61" s="5">
        <v>3225000</v>
      </c>
      <c r="H61" s="11">
        <f t="shared" si="0"/>
        <v>0.60525643410852714</v>
      </c>
      <c r="I61" s="11">
        <v>0.60460000000000003</v>
      </c>
      <c r="J61" s="7">
        <v>0.35365745425224304</v>
      </c>
      <c r="K61" s="7">
        <v>569.4</v>
      </c>
      <c r="L61" s="10">
        <v>0.94906525470289904</v>
      </c>
      <c r="M61" s="7">
        <v>79.253448486328125</v>
      </c>
      <c r="N61" s="7">
        <f t="shared" si="1"/>
        <v>79.253448486328125</v>
      </c>
      <c r="O61" s="7">
        <v>0.25009999999999999</v>
      </c>
      <c r="P61" s="7">
        <v>-0.8</v>
      </c>
      <c r="Q61" s="7">
        <v>-0.28999999999999998</v>
      </c>
      <c r="S61">
        <v>201709</v>
      </c>
      <c r="T61" s="16">
        <v>115.53444671630859</v>
      </c>
      <c r="U61" s="13"/>
    </row>
    <row r="62" spans="1:21" x14ac:dyDescent="0.25">
      <c r="A62" s="4">
        <v>201903</v>
      </c>
      <c r="B62" s="4" t="s">
        <v>5</v>
      </c>
      <c r="C62" s="4" t="s">
        <v>6</v>
      </c>
      <c r="D62" s="4" t="s">
        <v>7</v>
      </c>
      <c r="E62" s="4">
        <v>71360</v>
      </c>
      <c r="F62" s="6">
        <v>1092687</v>
      </c>
      <c r="G62" s="5">
        <v>1770000</v>
      </c>
      <c r="H62" s="11">
        <f t="shared" si="0"/>
        <v>0.61733728813559319</v>
      </c>
      <c r="I62" s="11">
        <v>0.59740000000000004</v>
      </c>
      <c r="J62" s="7">
        <v>0.30866771936416626</v>
      </c>
      <c r="K62" s="7">
        <v>569.4</v>
      </c>
      <c r="L62" s="10">
        <v>0.79852074227430903</v>
      </c>
      <c r="M62" s="7">
        <v>82.328292846679688</v>
      </c>
      <c r="N62" s="7">
        <f t="shared" si="1"/>
        <v>82.328292846679688</v>
      </c>
      <c r="O62" s="7">
        <v>4.5499999999999999E-2</v>
      </c>
      <c r="P62" s="7">
        <v>-0.8</v>
      </c>
      <c r="Q62" s="7">
        <v>-0.28999999999999998</v>
      </c>
      <c r="S62">
        <v>201710</v>
      </c>
      <c r="T62" s="16">
        <v>91.461570739746094</v>
      </c>
      <c r="U62" s="13"/>
    </row>
    <row r="63" spans="1:21" x14ac:dyDescent="0.25">
      <c r="A63" s="4">
        <v>201902</v>
      </c>
      <c r="B63" s="4" t="s">
        <v>5</v>
      </c>
      <c r="C63" s="4" t="s">
        <v>6</v>
      </c>
      <c r="D63" s="4" t="s">
        <v>7</v>
      </c>
      <c r="E63" s="4">
        <v>71360</v>
      </c>
      <c r="F63" s="6">
        <v>348149</v>
      </c>
      <c r="G63" s="5">
        <v>550000</v>
      </c>
      <c r="H63" s="11">
        <f t="shared" si="0"/>
        <v>0.63299818181818179</v>
      </c>
      <c r="I63" s="11">
        <v>0.628</v>
      </c>
      <c r="J63" s="7">
        <v>0.3635161817073822</v>
      </c>
      <c r="K63" s="7">
        <v>569.4</v>
      </c>
      <c r="L63" s="10">
        <v>0.55716052958808504</v>
      </c>
      <c r="M63" s="7">
        <v>96.800163269042969</v>
      </c>
      <c r="N63" s="7">
        <f t="shared" si="1"/>
        <v>96.800163269042969</v>
      </c>
      <c r="O63" s="7">
        <v>4.3700000000000003E-2</v>
      </c>
      <c r="P63" s="7">
        <v>-0.8</v>
      </c>
      <c r="Q63" s="7">
        <v>-0.28999999999999998</v>
      </c>
      <c r="S63">
        <v>201711</v>
      </c>
      <c r="T63" s="16">
        <v>92.596015930175781</v>
      </c>
      <c r="U63" s="13"/>
    </row>
    <row r="64" spans="1:21" x14ac:dyDescent="0.25">
      <c r="A64" s="4">
        <v>201901</v>
      </c>
      <c r="B64" s="4" t="s">
        <v>5</v>
      </c>
      <c r="C64" s="4" t="s">
        <v>6</v>
      </c>
      <c r="D64" s="4" t="s">
        <v>7</v>
      </c>
      <c r="E64" s="4">
        <v>71360</v>
      </c>
      <c r="F64" s="6">
        <v>2665756</v>
      </c>
      <c r="G64" s="5">
        <v>4525000</v>
      </c>
      <c r="H64" s="11">
        <f t="shared" si="0"/>
        <v>0.58911734806629834</v>
      </c>
      <c r="I64" s="11">
        <v>0.57999999999999996</v>
      </c>
      <c r="J64" s="7">
        <v>8.9247770607471466E-2</v>
      </c>
      <c r="K64" s="7">
        <v>569.4</v>
      </c>
      <c r="L64" s="10">
        <v>0.87994515188695499</v>
      </c>
      <c r="M64" s="7">
        <v>87.424102783203125</v>
      </c>
      <c r="N64" s="7">
        <f t="shared" si="1"/>
        <v>87.424102783203125</v>
      </c>
      <c r="O64" s="7">
        <v>5.9799999999999999E-2</v>
      </c>
      <c r="P64" s="7">
        <v>-0.8</v>
      </c>
      <c r="Q64" s="7">
        <v>-0.28999999999999998</v>
      </c>
      <c r="S64">
        <v>201712</v>
      </c>
      <c r="T64" s="16">
        <v>82.718254089355469</v>
      </c>
      <c r="U64" s="13"/>
    </row>
    <row r="65" spans="1:21" x14ac:dyDescent="0.25">
      <c r="A65" s="4">
        <v>201810</v>
      </c>
      <c r="B65" s="4" t="s">
        <v>5</v>
      </c>
      <c r="C65" s="4" t="s">
        <v>6</v>
      </c>
      <c r="D65" s="4" t="s">
        <v>7</v>
      </c>
      <c r="E65" s="4">
        <v>71360</v>
      </c>
      <c r="F65" s="6">
        <v>2737171</v>
      </c>
      <c r="G65" s="5">
        <v>8502000</v>
      </c>
      <c r="H65" s="11">
        <f t="shared" si="0"/>
        <v>0.32194436603152199</v>
      </c>
      <c r="I65" s="11">
        <v>0.32729999999999998</v>
      </c>
      <c r="J65" s="7">
        <v>0.20596474409103394</v>
      </c>
      <c r="K65" s="7">
        <v>639.79999999999995</v>
      </c>
      <c r="L65" s="10">
        <v>0.956745033066286</v>
      </c>
      <c r="M65" s="7">
        <v>92.0164794921875</v>
      </c>
      <c r="N65" s="7">
        <f t="shared" si="1"/>
        <v>92.0164794921875</v>
      </c>
      <c r="O65" s="7">
        <v>0.14099999999999999</v>
      </c>
      <c r="P65" s="7">
        <v>-1</v>
      </c>
      <c r="Q65" s="7">
        <v>-0.43</v>
      </c>
      <c r="S65">
        <v>201801</v>
      </c>
      <c r="T65" s="16">
        <v>92.426788330078125</v>
      </c>
      <c r="U65" s="13"/>
    </row>
    <row r="66" spans="1:21" x14ac:dyDescent="0.25">
      <c r="A66" s="4">
        <v>201809</v>
      </c>
      <c r="B66" s="4" t="s">
        <v>5</v>
      </c>
      <c r="C66" s="4" t="s">
        <v>6</v>
      </c>
      <c r="D66" s="4" t="s">
        <v>7</v>
      </c>
      <c r="E66" s="4">
        <v>71360</v>
      </c>
      <c r="F66" s="6">
        <v>4819552</v>
      </c>
      <c r="G66" s="5">
        <v>13847000</v>
      </c>
      <c r="H66" s="11">
        <f t="shared" si="0"/>
        <v>0.3480574853758937</v>
      </c>
      <c r="I66" s="11">
        <v>0.35270000000000001</v>
      </c>
      <c r="J66" s="7">
        <v>0.15539689362049103</v>
      </c>
      <c r="K66" s="7">
        <v>639.79999999999995</v>
      </c>
      <c r="L66" s="10">
        <v>0.96267317243878103</v>
      </c>
      <c r="M66" s="7">
        <v>75.053909301757813</v>
      </c>
      <c r="N66" s="7">
        <f t="shared" si="1"/>
        <v>75.053909301757813</v>
      </c>
      <c r="O66" s="7">
        <v>0.14030000000000001</v>
      </c>
      <c r="P66" s="7">
        <v>-1</v>
      </c>
      <c r="Q66" s="7">
        <v>-0.43</v>
      </c>
      <c r="S66">
        <v>201802</v>
      </c>
      <c r="T66" s="16">
        <v>64.491371154785156</v>
      </c>
      <c r="U66" s="13"/>
    </row>
    <row r="67" spans="1:21" x14ac:dyDescent="0.25">
      <c r="A67" s="4">
        <v>201808</v>
      </c>
      <c r="B67" s="4" t="s">
        <v>5</v>
      </c>
      <c r="C67" s="4" t="s">
        <v>6</v>
      </c>
      <c r="D67" s="4" t="s">
        <v>7</v>
      </c>
      <c r="E67" s="4">
        <v>71360</v>
      </c>
      <c r="F67" s="6">
        <v>1963083</v>
      </c>
      <c r="G67" s="5">
        <v>5514000</v>
      </c>
      <c r="H67" s="11">
        <f t="shared" ref="H67:H130" si="2">F67/G67</f>
        <v>0.35601795429815014</v>
      </c>
      <c r="I67" s="11">
        <v>0.36609999999999998</v>
      </c>
      <c r="J67" s="7">
        <v>0.14780311286449432</v>
      </c>
      <c r="K67" s="7">
        <v>639.79999999999995</v>
      </c>
      <c r="L67" s="10">
        <v>0.93853590764011396</v>
      </c>
      <c r="M67" s="7">
        <v>112.74168395996094</v>
      </c>
      <c r="N67" s="7">
        <f t="shared" ref="N67:N130" si="3">VLOOKUP(A67,$S$5:$T$158,2,FALSE)</f>
        <v>112.74168395996094</v>
      </c>
      <c r="O67" s="7">
        <v>5.7099999999999998E-2</v>
      </c>
      <c r="P67" s="7">
        <v>-1</v>
      </c>
      <c r="Q67" s="7">
        <v>-0.43</v>
      </c>
      <c r="S67">
        <v>201803</v>
      </c>
      <c r="T67" s="16">
        <v>111.96229553222656</v>
      </c>
      <c r="U67" s="13"/>
    </row>
    <row r="68" spans="1:21" x14ac:dyDescent="0.25">
      <c r="A68" s="4">
        <v>201802</v>
      </c>
      <c r="B68" s="4" t="s">
        <v>5</v>
      </c>
      <c r="C68" s="4" t="s">
        <v>6</v>
      </c>
      <c r="D68" s="4" t="s">
        <v>7</v>
      </c>
      <c r="E68" s="4">
        <v>71360</v>
      </c>
      <c r="F68" s="6">
        <v>119586</v>
      </c>
      <c r="G68" s="5">
        <v>360000</v>
      </c>
      <c r="H68" s="11">
        <f t="shared" si="2"/>
        <v>0.33218333333333333</v>
      </c>
      <c r="I68" s="11">
        <v>0.47349999999999998</v>
      </c>
      <c r="J68" s="7">
        <v>7.9047709703445435E-2</v>
      </c>
      <c r="K68" s="7">
        <v>639.79999999999995</v>
      </c>
      <c r="L68" s="10">
        <v>0.43391304032307798</v>
      </c>
      <c r="M68" s="7">
        <v>64.491371154785156</v>
      </c>
      <c r="N68" s="7">
        <f t="shared" si="3"/>
        <v>64.491371154785156</v>
      </c>
      <c r="O68" s="7">
        <v>1.9599999999999999E-2</v>
      </c>
      <c r="P68" s="7">
        <v>-1</v>
      </c>
      <c r="Q68" s="7">
        <v>-0.43</v>
      </c>
      <c r="S68">
        <v>201804</v>
      </c>
      <c r="T68" s="16">
        <v>123.26347351074219</v>
      </c>
      <c r="U68" s="13"/>
    </row>
    <row r="69" spans="1:21" x14ac:dyDescent="0.25">
      <c r="A69" s="4">
        <v>201712</v>
      </c>
      <c r="B69" s="4" t="s">
        <v>5</v>
      </c>
      <c r="C69" s="4" t="s">
        <v>6</v>
      </c>
      <c r="D69" s="4" t="s">
        <v>7</v>
      </c>
      <c r="E69" s="4">
        <v>71360</v>
      </c>
      <c r="F69" s="6">
        <v>597967</v>
      </c>
      <c r="G69" s="5">
        <v>1520000</v>
      </c>
      <c r="H69" s="11">
        <f t="shared" si="2"/>
        <v>0.39339934210526317</v>
      </c>
      <c r="I69" s="11">
        <v>0.40260000000000001</v>
      </c>
      <c r="J69" s="7">
        <v>6.3967831432819366E-2</v>
      </c>
      <c r="K69" s="7">
        <v>592.4</v>
      </c>
      <c r="L69" s="10">
        <v>0.78135286039276197</v>
      </c>
      <c r="M69" s="7">
        <v>82.718254089355469</v>
      </c>
      <c r="N69" s="7">
        <f t="shared" si="3"/>
        <v>82.718254089355469</v>
      </c>
      <c r="O69" s="7">
        <v>3.5299999999999998E-2</v>
      </c>
      <c r="P69" s="7">
        <v>-0.77</v>
      </c>
      <c r="Q69" s="7">
        <v>-0.25</v>
      </c>
      <c r="S69">
        <v>201805</v>
      </c>
      <c r="T69" s="16">
        <v>125.66661834716797</v>
      </c>
      <c r="U69" s="13"/>
    </row>
    <row r="70" spans="1:21" x14ac:dyDescent="0.25">
      <c r="A70" s="4">
        <v>201711</v>
      </c>
      <c r="B70" s="4" t="s">
        <v>5</v>
      </c>
      <c r="C70" s="4" t="s">
        <v>6</v>
      </c>
      <c r="D70" s="4" t="s">
        <v>7</v>
      </c>
      <c r="E70" s="4">
        <v>71360</v>
      </c>
      <c r="F70" s="6">
        <v>452043</v>
      </c>
      <c r="G70" s="5">
        <v>1425000</v>
      </c>
      <c r="H70" s="11">
        <f t="shared" si="2"/>
        <v>0.31722315789473682</v>
      </c>
      <c r="I70" s="11">
        <v>0.35820000000000002</v>
      </c>
      <c r="J70" s="7">
        <v>0.15569768846035004</v>
      </c>
      <c r="K70" s="7">
        <v>592.4</v>
      </c>
      <c r="L70" s="10">
        <v>0.587214490867215</v>
      </c>
      <c r="M70" s="7">
        <v>92.596015930175781</v>
      </c>
      <c r="N70" s="7">
        <f t="shared" si="3"/>
        <v>92.596015930175781</v>
      </c>
      <c r="O70" s="7">
        <v>2.6800000000000001E-2</v>
      </c>
      <c r="P70" s="7">
        <v>-0.77</v>
      </c>
      <c r="Q70" s="7">
        <v>-0.25</v>
      </c>
      <c r="S70">
        <v>201806</v>
      </c>
      <c r="T70" s="16">
        <v>103.96858978271484</v>
      </c>
      <c r="U70" s="13"/>
    </row>
    <row r="71" spans="1:21" x14ac:dyDescent="0.25">
      <c r="A71" s="4">
        <v>201710</v>
      </c>
      <c r="B71" s="4" t="s">
        <v>5</v>
      </c>
      <c r="C71" s="4" t="s">
        <v>6</v>
      </c>
      <c r="D71" s="4" t="s">
        <v>7</v>
      </c>
      <c r="E71" s="4">
        <v>71360</v>
      </c>
      <c r="F71" s="6">
        <v>311591</v>
      </c>
      <c r="G71" s="5">
        <v>780000</v>
      </c>
      <c r="H71" s="11">
        <f t="shared" si="2"/>
        <v>0.39947564102564104</v>
      </c>
      <c r="I71" s="11">
        <v>0.54390000000000005</v>
      </c>
      <c r="J71" s="7">
        <v>0.12174336612224579</v>
      </c>
      <c r="K71" s="7">
        <v>592.4</v>
      </c>
      <c r="L71" s="10">
        <v>0.29437144779007102</v>
      </c>
      <c r="M71" s="7">
        <v>91.461570739746094</v>
      </c>
      <c r="N71" s="7">
        <f t="shared" si="3"/>
        <v>91.461570739746094</v>
      </c>
      <c r="O71" s="7">
        <v>0.2485</v>
      </c>
      <c r="P71" s="7">
        <v>-0.77</v>
      </c>
      <c r="Q71" s="7">
        <v>-0.25</v>
      </c>
      <c r="S71">
        <v>201807</v>
      </c>
      <c r="T71" s="16">
        <v>110.02842712402344</v>
      </c>
      <c r="U71" s="13"/>
    </row>
    <row r="72" spans="1:21" x14ac:dyDescent="0.25">
      <c r="A72" s="4">
        <v>201709</v>
      </c>
      <c r="B72" s="4" t="s">
        <v>5</v>
      </c>
      <c r="C72" s="4" t="s">
        <v>6</v>
      </c>
      <c r="D72" s="4" t="s">
        <v>7</v>
      </c>
      <c r="E72" s="4">
        <v>71360</v>
      </c>
      <c r="F72" s="6">
        <v>2020693</v>
      </c>
      <c r="G72" s="5">
        <v>4052000</v>
      </c>
      <c r="H72" s="11">
        <f t="shared" si="2"/>
        <v>0.49869027640671271</v>
      </c>
      <c r="I72" s="11">
        <v>0.503</v>
      </c>
      <c r="J72" s="7">
        <v>0.28461575508117676</v>
      </c>
      <c r="K72" s="7">
        <v>592.4</v>
      </c>
      <c r="L72" s="10">
        <v>0.97105471314212999</v>
      </c>
      <c r="M72" s="7">
        <v>115.53444671630859</v>
      </c>
      <c r="N72" s="7">
        <f t="shared" si="3"/>
        <v>115.53444671630859</v>
      </c>
      <c r="O72" s="7">
        <v>0.16950000000000001</v>
      </c>
      <c r="P72" s="7">
        <v>-0.77</v>
      </c>
      <c r="Q72" s="7">
        <v>-0.25</v>
      </c>
      <c r="S72">
        <v>201808</v>
      </c>
      <c r="T72" s="16">
        <v>112.74168395996094</v>
      </c>
      <c r="U72" s="13"/>
    </row>
    <row r="73" spans="1:21" x14ac:dyDescent="0.25">
      <c r="A73" s="4">
        <v>201708</v>
      </c>
      <c r="B73" s="4" t="s">
        <v>5</v>
      </c>
      <c r="C73" s="4" t="s">
        <v>6</v>
      </c>
      <c r="D73" s="4" t="s">
        <v>7</v>
      </c>
      <c r="E73" s="4">
        <v>71360</v>
      </c>
      <c r="F73" s="6">
        <v>806868</v>
      </c>
      <c r="G73" s="5">
        <v>2054000</v>
      </c>
      <c r="H73" s="11">
        <f t="shared" si="2"/>
        <v>0.39282765335929892</v>
      </c>
      <c r="I73" s="11">
        <v>0.41930000000000001</v>
      </c>
      <c r="J73" s="7">
        <v>0.18158513307571411</v>
      </c>
      <c r="K73" s="7">
        <v>592.4</v>
      </c>
      <c r="L73" s="10">
        <v>0.87754074380210201</v>
      </c>
      <c r="M73" s="7">
        <v>138.5316162109375</v>
      </c>
      <c r="N73" s="7">
        <f t="shared" si="3"/>
        <v>138.5316162109375</v>
      </c>
      <c r="O73" s="7">
        <v>3.6900000000000002E-2</v>
      </c>
      <c r="P73" s="7">
        <v>-0.77</v>
      </c>
      <c r="Q73" s="7">
        <v>-0.25</v>
      </c>
      <c r="S73">
        <v>201809</v>
      </c>
      <c r="T73" s="16">
        <v>75.053909301757813</v>
      </c>
      <c r="U73" s="13"/>
    </row>
    <row r="74" spans="1:21" x14ac:dyDescent="0.25">
      <c r="A74" s="4">
        <v>201707</v>
      </c>
      <c r="B74" s="4" t="s">
        <v>5</v>
      </c>
      <c r="C74" s="4" t="s">
        <v>6</v>
      </c>
      <c r="D74" s="4" t="s">
        <v>7</v>
      </c>
      <c r="E74" s="4">
        <v>71360</v>
      </c>
      <c r="F74" s="6">
        <v>122724</v>
      </c>
      <c r="G74" s="5">
        <v>240000</v>
      </c>
      <c r="H74" s="11">
        <f t="shared" si="2"/>
        <v>0.51134999999999997</v>
      </c>
      <c r="I74" s="11">
        <v>0.55400000000000005</v>
      </c>
      <c r="J74" s="7">
        <v>0.14306151866912842</v>
      </c>
      <c r="K74" s="7">
        <v>592.4</v>
      </c>
      <c r="L74" s="10">
        <v>0.76741830187971305</v>
      </c>
      <c r="M74" s="7">
        <v>102.81346130371094</v>
      </c>
      <c r="N74" s="7">
        <f t="shared" si="3"/>
        <v>102.81346130371094</v>
      </c>
      <c r="O74" s="7">
        <v>3.8E-3</v>
      </c>
      <c r="P74" s="7">
        <v>-0.77</v>
      </c>
      <c r="Q74" s="7">
        <v>-0.25</v>
      </c>
      <c r="S74">
        <v>201810</v>
      </c>
      <c r="T74" s="16">
        <v>92.0164794921875</v>
      </c>
      <c r="U74" s="13"/>
    </row>
    <row r="75" spans="1:21" x14ac:dyDescent="0.25">
      <c r="A75" s="4">
        <v>201706</v>
      </c>
      <c r="B75" s="4" t="s">
        <v>5</v>
      </c>
      <c r="C75" s="4" t="s">
        <v>6</v>
      </c>
      <c r="D75" s="4" t="s">
        <v>7</v>
      </c>
      <c r="E75" s="4">
        <v>71360</v>
      </c>
      <c r="F75" s="6">
        <v>27036</v>
      </c>
      <c r="G75" s="5">
        <v>44000</v>
      </c>
      <c r="H75" s="11">
        <f t="shared" si="2"/>
        <v>0.61445454545454548</v>
      </c>
      <c r="I75" s="11">
        <v>0.9234</v>
      </c>
      <c r="J75" s="7">
        <v>0.2270381897687912</v>
      </c>
      <c r="K75" s="7">
        <v>592.4</v>
      </c>
      <c r="L75" s="10">
        <v>0.115156084284235</v>
      </c>
      <c r="M75" s="7">
        <v>126.78901672363281</v>
      </c>
      <c r="N75" s="7">
        <f t="shared" si="3"/>
        <v>126.78901672363281</v>
      </c>
      <c r="O75" s="7">
        <v>8.0000000000000004E-4</v>
      </c>
      <c r="P75" s="7">
        <v>-0.77</v>
      </c>
      <c r="Q75" s="7">
        <v>-0.25</v>
      </c>
      <c r="S75">
        <v>201811</v>
      </c>
      <c r="T75" s="16">
        <v>80.407585144042969</v>
      </c>
      <c r="U75" s="13"/>
    </row>
    <row r="76" spans="1:21" x14ac:dyDescent="0.25">
      <c r="A76" s="4">
        <v>201705</v>
      </c>
      <c r="B76" s="4" t="s">
        <v>5</v>
      </c>
      <c r="C76" s="4" t="s">
        <v>6</v>
      </c>
      <c r="D76" s="4" t="s">
        <v>7</v>
      </c>
      <c r="E76" s="4">
        <v>71360</v>
      </c>
      <c r="F76" s="6">
        <v>217345</v>
      </c>
      <c r="G76" s="5">
        <v>240000</v>
      </c>
      <c r="H76" s="11">
        <f t="shared" si="2"/>
        <v>0.90560416666666665</v>
      </c>
      <c r="I76" s="11">
        <v>0.9304</v>
      </c>
      <c r="J76" s="7">
        <v>9.1389112174510956E-2</v>
      </c>
      <c r="K76" s="7">
        <v>592.4</v>
      </c>
      <c r="L76" s="10">
        <v>0.36882895174482899</v>
      </c>
      <c r="M76" s="7">
        <v>102.57996368408203</v>
      </c>
      <c r="N76" s="7">
        <f t="shared" si="3"/>
        <v>102.57996368408203</v>
      </c>
      <c r="O76" s="7">
        <v>9.2999999999999992E-3</v>
      </c>
      <c r="P76" s="7">
        <v>-0.77</v>
      </c>
      <c r="Q76" s="7">
        <v>-0.25</v>
      </c>
      <c r="S76">
        <v>201812</v>
      </c>
      <c r="T76" s="16">
        <v>90.607666015625</v>
      </c>
      <c r="U76" s="13"/>
    </row>
    <row r="77" spans="1:21" x14ac:dyDescent="0.25">
      <c r="A77" s="4">
        <v>201704</v>
      </c>
      <c r="B77" s="4" t="s">
        <v>5</v>
      </c>
      <c r="C77" s="4" t="s">
        <v>6</v>
      </c>
      <c r="D77" s="4" t="s">
        <v>7</v>
      </c>
      <c r="E77" s="4">
        <v>71360</v>
      </c>
      <c r="F77" s="6">
        <v>284928</v>
      </c>
      <c r="G77" s="5">
        <v>350000</v>
      </c>
      <c r="H77" s="11">
        <f t="shared" si="2"/>
        <v>0.81408000000000003</v>
      </c>
      <c r="I77" s="11">
        <v>0.87490000000000001</v>
      </c>
      <c r="J77" s="7">
        <v>0.14710518717765808</v>
      </c>
      <c r="K77" s="7">
        <v>592.4</v>
      </c>
      <c r="L77" s="10">
        <v>0.41133551805280799</v>
      </c>
      <c r="M77" s="7">
        <v>119.45992279052734</v>
      </c>
      <c r="N77" s="7">
        <f t="shared" si="3"/>
        <v>119.45992279052734</v>
      </c>
      <c r="O77" s="7">
        <v>7.4999999999999997E-3</v>
      </c>
      <c r="P77" s="7">
        <v>-0.77</v>
      </c>
      <c r="Q77" s="7">
        <v>-0.25</v>
      </c>
      <c r="S77">
        <v>201901</v>
      </c>
      <c r="T77" s="16">
        <v>87.424102783203125</v>
      </c>
      <c r="U77" s="13"/>
    </row>
    <row r="78" spans="1:21" x14ac:dyDescent="0.25">
      <c r="A78" s="4">
        <v>201703</v>
      </c>
      <c r="B78" s="4" t="s">
        <v>5</v>
      </c>
      <c r="C78" s="4" t="s">
        <v>6</v>
      </c>
      <c r="D78" s="4" t="s">
        <v>7</v>
      </c>
      <c r="E78" s="4">
        <v>71360</v>
      </c>
      <c r="F78" s="6">
        <v>163331</v>
      </c>
      <c r="G78" s="5">
        <v>279000</v>
      </c>
      <c r="H78" s="11">
        <f t="shared" si="2"/>
        <v>0.58541577060931904</v>
      </c>
      <c r="I78" s="11">
        <v>0.74580000000000002</v>
      </c>
      <c r="J78" s="7">
        <v>0.14420303702354431</v>
      </c>
      <c r="K78" s="7">
        <v>592.4</v>
      </c>
      <c r="L78" s="10">
        <v>0.19295453847371499</v>
      </c>
      <c r="M78" s="7">
        <v>96.635879516601563</v>
      </c>
      <c r="N78" s="7">
        <f t="shared" si="3"/>
        <v>96.635879516601563</v>
      </c>
      <c r="O78" s="7">
        <v>6.1000000000000004E-3</v>
      </c>
      <c r="P78" s="7">
        <v>-0.77</v>
      </c>
      <c r="Q78" s="7">
        <v>-0.25</v>
      </c>
      <c r="S78">
        <v>201902</v>
      </c>
      <c r="T78" s="16">
        <v>96.800163269042969</v>
      </c>
      <c r="U78" s="13"/>
    </row>
    <row r="79" spans="1:21" x14ac:dyDescent="0.25">
      <c r="A79" s="4">
        <v>201702</v>
      </c>
      <c r="B79" s="4" t="s">
        <v>5</v>
      </c>
      <c r="C79" s="4" t="s">
        <v>6</v>
      </c>
      <c r="D79" s="4" t="s">
        <v>7</v>
      </c>
      <c r="E79" s="4">
        <v>71360</v>
      </c>
      <c r="F79" s="6">
        <v>1848825</v>
      </c>
      <c r="G79" s="5">
        <v>2544000</v>
      </c>
      <c r="H79" s="11">
        <f t="shared" si="2"/>
        <v>0.72673938679245287</v>
      </c>
      <c r="I79" s="11">
        <v>0.76839999999999997</v>
      </c>
      <c r="J79" s="7">
        <v>0.16521643102169037</v>
      </c>
      <c r="K79" s="7">
        <v>592.4</v>
      </c>
      <c r="L79" s="10">
        <v>0.85691422352700097</v>
      </c>
      <c r="M79" s="7">
        <v>114.20635986328125</v>
      </c>
      <c r="N79" s="7">
        <f t="shared" si="3"/>
        <v>114.20635986328125</v>
      </c>
      <c r="O79" s="7">
        <v>6.8599999999999994E-2</v>
      </c>
      <c r="P79" s="7">
        <v>-0.77</v>
      </c>
      <c r="Q79" s="7">
        <v>-0.25</v>
      </c>
      <c r="S79">
        <v>201903</v>
      </c>
      <c r="T79" s="16">
        <v>82.328292846679688</v>
      </c>
      <c r="U79" s="13"/>
    </row>
    <row r="80" spans="1:21" x14ac:dyDescent="0.25">
      <c r="A80" s="4">
        <v>201701</v>
      </c>
      <c r="B80" s="4" t="s">
        <v>5</v>
      </c>
      <c r="C80" s="4" t="s">
        <v>6</v>
      </c>
      <c r="D80" s="4" t="s">
        <v>7</v>
      </c>
      <c r="E80" s="4">
        <v>71360</v>
      </c>
      <c r="F80" s="6">
        <v>2054367</v>
      </c>
      <c r="G80" s="5">
        <v>2885750</v>
      </c>
      <c r="H80" s="11">
        <f t="shared" si="2"/>
        <v>0.71190054578532447</v>
      </c>
      <c r="I80" s="11">
        <v>0.72629999999999995</v>
      </c>
      <c r="J80" s="7">
        <v>0.18233387172222137</v>
      </c>
      <c r="K80" s="7">
        <v>592.4</v>
      </c>
      <c r="L80" s="10">
        <v>0.91551942657901098</v>
      </c>
      <c r="M80" s="7">
        <v>105.20123291015625</v>
      </c>
      <c r="N80" s="7">
        <f t="shared" si="3"/>
        <v>105.20123291015625</v>
      </c>
      <c r="O80" s="7">
        <v>6.2899999999999998E-2</v>
      </c>
      <c r="P80" s="7">
        <v>-0.77</v>
      </c>
      <c r="Q80" s="7">
        <v>-0.25</v>
      </c>
      <c r="S80">
        <v>201904</v>
      </c>
      <c r="T80" s="16">
        <v>79.253448486328125</v>
      </c>
      <c r="U80" s="13"/>
    </row>
    <row r="81" spans="1:21" x14ac:dyDescent="0.25">
      <c r="A81" s="4">
        <v>201612</v>
      </c>
      <c r="B81" s="4" t="s">
        <v>5</v>
      </c>
      <c r="C81" s="4" t="s">
        <v>6</v>
      </c>
      <c r="D81" s="4" t="s">
        <v>7</v>
      </c>
      <c r="E81" s="4">
        <v>71360</v>
      </c>
      <c r="F81" s="6">
        <v>9071258</v>
      </c>
      <c r="G81" s="5">
        <v>12887301</v>
      </c>
      <c r="H81" s="11">
        <f t="shared" si="2"/>
        <v>0.70389121818447475</v>
      </c>
      <c r="I81" s="11">
        <v>0.70389999999999997</v>
      </c>
      <c r="J81" s="7">
        <v>0.16102194786071777</v>
      </c>
      <c r="K81" s="7">
        <v>797.4</v>
      </c>
      <c r="L81" s="10">
        <v>0.99639852434840503</v>
      </c>
      <c r="M81" s="7">
        <v>102.18046569824219</v>
      </c>
      <c r="N81" s="7">
        <f t="shared" si="3"/>
        <v>102.18046569824219</v>
      </c>
      <c r="O81" s="7">
        <v>0.122</v>
      </c>
      <c r="P81" s="7">
        <v>-0.96</v>
      </c>
      <c r="Q81" s="7">
        <v>-0.12</v>
      </c>
      <c r="S81">
        <v>201905</v>
      </c>
      <c r="T81" s="16">
        <v>106.47190093994141</v>
      </c>
      <c r="U81" s="13"/>
    </row>
    <row r="82" spans="1:21" x14ac:dyDescent="0.25">
      <c r="A82" s="4">
        <v>201611</v>
      </c>
      <c r="B82" s="4" t="s">
        <v>5</v>
      </c>
      <c r="C82" s="4" t="s">
        <v>6</v>
      </c>
      <c r="D82" s="4" t="s">
        <v>7</v>
      </c>
      <c r="E82" s="4">
        <v>71360</v>
      </c>
      <c r="F82" s="6">
        <v>5624967</v>
      </c>
      <c r="G82" s="5">
        <v>7215000</v>
      </c>
      <c r="H82" s="11">
        <f t="shared" si="2"/>
        <v>0.77962120582120586</v>
      </c>
      <c r="I82" s="11">
        <v>0.80659999999999998</v>
      </c>
      <c r="J82" s="7">
        <v>0.1230706125497818</v>
      </c>
      <c r="K82" s="7">
        <v>797.4</v>
      </c>
      <c r="L82" s="10">
        <v>0.88675217582672505</v>
      </c>
      <c r="M82" s="7">
        <v>82.918754577636719</v>
      </c>
      <c r="N82" s="7">
        <f t="shared" si="3"/>
        <v>82.918754577636719</v>
      </c>
      <c r="O82" s="7">
        <v>5.79E-2</v>
      </c>
      <c r="P82" s="7">
        <v>-0.96</v>
      </c>
      <c r="Q82" s="7">
        <v>-0.12</v>
      </c>
      <c r="S82">
        <v>201906</v>
      </c>
      <c r="T82" s="16">
        <v>106.58845520019531</v>
      </c>
      <c r="U82" s="13"/>
    </row>
    <row r="83" spans="1:21" x14ac:dyDescent="0.25">
      <c r="A83" s="4">
        <v>201610</v>
      </c>
      <c r="B83" s="4" t="s">
        <v>5</v>
      </c>
      <c r="C83" s="4" t="s">
        <v>6</v>
      </c>
      <c r="D83" s="4" t="s">
        <v>7</v>
      </c>
      <c r="E83" s="4">
        <v>71360</v>
      </c>
      <c r="F83" s="6">
        <v>9644246</v>
      </c>
      <c r="G83" s="5">
        <v>10290219</v>
      </c>
      <c r="H83" s="11">
        <f t="shared" si="2"/>
        <v>0.93722456247043917</v>
      </c>
      <c r="I83" s="11">
        <v>0.94820000000000004</v>
      </c>
      <c r="J83" s="7">
        <v>0.16687935590744019</v>
      </c>
      <c r="K83" s="7">
        <v>797.4</v>
      </c>
      <c r="L83" s="10">
        <v>0.97370606356854095</v>
      </c>
      <c r="M83" s="7">
        <v>85.747787475585938</v>
      </c>
      <c r="N83" s="7">
        <f t="shared" si="3"/>
        <v>85.747787475585938</v>
      </c>
      <c r="O83" s="7">
        <v>0.1172</v>
      </c>
      <c r="P83" s="7">
        <v>-0.96</v>
      </c>
      <c r="Q83" s="7">
        <v>-0.12</v>
      </c>
      <c r="S83">
        <v>201907</v>
      </c>
      <c r="T83" s="16">
        <v>93.521255493164063</v>
      </c>
      <c r="U83" s="13"/>
    </row>
    <row r="84" spans="1:21" x14ac:dyDescent="0.25">
      <c r="A84" s="4">
        <v>201609</v>
      </c>
      <c r="B84" s="4" t="s">
        <v>5</v>
      </c>
      <c r="C84" s="4" t="s">
        <v>6</v>
      </c>
      <c r="D84" s="4" t="s">
        <v>7</v>
      </c>
      <c r="E84" s="4">
        <v>71360</v>
      </c>
      <c r="F84" s="6">
        <v>7472788</v>
      </c>
      <c r="G84" s="5">
        <v>7091000</v>
      </c>
      <c r="H84" s="11">
        <f t="shared" si="2"/>
        <v>1.0538412071640106</v>
      </c>
      <c r="I84" s="11">
        <v>1.0580000000000001</v>
      </c>
      <c r="J84" s="7">
        <v>0.17644686996936798</v>
      </c>
      <c r="K84" s="7">
        <v>797.4</v>
      </c>
      <c r="L84" s="10">
        <v>0.96769230111792104</v>
      </c>
      <c r="M84" s="7">
        <v>104.54522705078125</v>
      </c>
      <c r="N84" s="7">
        <f t="shared" si="3"/>
        <v>104.54522705078125</v>
      </c>
      <c r="O84" s="7">
        <v>0.18740000000000001</v>
      </c>
      <c r="P84" s="7">
        <v>-0.96</v>
      </c>
      <c r="Q84" s="7">
        <v>-0.12</v>
      </c>
      <c r="S84">
        <v>201908</v>
      </c>
      <c r="T84" s="16">
        <v>103.4044189453125</v>
      </c>
      <c r="U84" s="13"/>
    </row>
    <row r="85" spans="1:21" x14ac:dyDescent="0.25">
      <c r="A85" s="4">
        <v>201608</v>
      </c>
      <c r="B85" s="4" t="s">
        <v>5</v>
      </c>
      <c r="C85" s="4" t="s">
        <v>6</v>
      </c>
      <c r="D85" s="4" t="s">
        <v>7</v>
      </c>
      <c r="E85" s="4">
        <v>71360</v>
      </c>
      <c r="F85" s="6">
        <v>1026494</v>
      </c>
      <c r="G85" s="5">
        <v>1019000</v>
      </c>
      <c r="H85" s="11">
        <f t="shared" si="2"/>
        <v>1.0073542688910697</v>
      </c>
      <c r="I85" s="11">
        <v>1.0630999999999999</v>
      </c>
      <c r="J85" s="7">
        <v>0.12921231985092163</v>
      </c>
      <c r="K85" s="7">
        <v>797.4</v>
      </c>
      <c r="L85" s="10">
        <v>0.90299975368591401</v>
      </c>
      <c r="M85" s="7">
        <v>98.738487243652344</v>
      </c>
      <c r="N85" s="7">
        <f t="shared" si="3"/>
        <v>98.738487243652344</v>
      </c>
      <c r="O85" s="7">
        <v>2.6100000000000002E-2</v>
      </c>
      <c r="P85" s="7">
        <v>-0.96</v>
      </c>
      <c r="Q85" s="7">
        <v>-0.12</v>
      </c>
      <c r="S85">
        <v>201909</v>
      </c>
      <c r="T85" s="16">
        <v>90.367988586425781</v>
      </c>
      <c r="U85" s="13"/>
    </row>
    <row r="86" spans="1:21" x14ac:dyDescent="0.25">
      <c r="A86" s="4">
        <v>201607</v>
      </c>
      <c r="B86" s="4" t="s">
        <v>5</v>
      </c>
      <c r="C86" s="4" t="s">
        <v>6</v>
      </c>
      <c r="D86" s="4" t="s">
        <v>7</v>
      </c>
      <c r="E86" s="4">
        <v>71360</v>
      </c>
      <c r="F86" s="6">
        <v>144379</v>
      </c>
      <c r="G86" s="5">
        <v>125000</v>
      </c>
      <c r="H86" s="11">
        <f t="shared" si="2"/>
        <v>1.1550320000000001</v>
      </c>
      <c r="I86" s="11">
        <v>1.3420000000000001</v>
      </c>
      <c r="J86" s="7">
        <v>0.27500858902931213</v>
      </c>
      <c r="K86" s="7">
        <v>797.4</v>
      </c>
      <c r="L86" s="10">
        <v>0.61419315866270097</v>
      </c>
      <c r="M86" s="7">
        <v>114.61045074462891</v>
      </c>
      <c r="N86" s="7">
        <f t="shared" si="3"/>
        <v>114.61045074462891</v>
      </c>
      <c r="O86" s="7">
        <v>3.3E-3</v>
      </c>
      <c r="P86" s="7">
        <v>-0.96</v>
      </c>
      <c r="Q86" s="7">
        <v>-0.12</v>
      </c>
      <c r="S86">
        <v>201910</v>
      </c>
      <c r="T86" s="16">
        <v>97.83673095703125</v>
      </c>
      <c r="U86" s="13"/>
    </row>
    <row r="87" spans="1:21" x14ac:dyDescent="0.25">
      <c r="A87" s="4">
        <v>201606</v>
      </c>
      <c r="B87" s="4" t="s">
        <v>5</v>
      </c>
      <c r="C87" s="4" t="s">
        <v>6</v>
      </c>
      <c r="D87" s="4" t="s">
        <v>7</v>
      </c>
      <c r="E87" s="4">
        <v>71360</v>
      </c>
      <c r="F87" s="6">
        <v>191252</v>
      </c>
      <c r="G87" s="5">
        <v>124000</v>
      </c>
      <c r="H87" s="11">
        <f t="shared" si="2"/>
        <v>1.5423548387096775</v>
      </c>
      <c r="I87" s="11">
        <v>1.8069999999999999</v>
      </c>
      <c r="J87" s="7">
        <v>0.10855713486671448</v>
      </c>
      <c r="K87" s="7">
        <v>797.4</v>
      </c>
      <c r="L87" s="10">
        <v>0.476080473561318</v>
      </c>
      <c r="M87" s="7">
        <v>90.168128967285156</v>
      </c>
      <c r="N87" s="7">
        <f t="shared" si="3"/>
        <v>90.168128967285156</v>
      </c>
      <c r="O87" s="7">
        <v>5.0000000000000001E-3</v>
      </c>
      <c r="P87" s="7">
        <v>-0.96</v>
      </c>
      <c r="Q87" s="7">
        <v>-0.12</v>
      </c>
      <c r="S87">
        <v>201911</v>
      </c>
      <c r="T87" s="16">
        <v>73.078384399414063</v>
      </c>
      <c r="U87" s="13"/>
    </row>
    <row r="88" spans="1:21" x14ac:dyDescent="0.25">
      <c r="A88" s="4">
        <v>201605</v>
      </c>
      <c r="B88" s="4" t="s">
        <v>5</v>
      </c>
      <c r="C88" s="4" t="s">
        <v>6</v>
      </c>
      <c r="D88" s="4" t="s">
        <v>7</v>
      </c>
      <c r="E88" s="4">
        <v>71360</v>
      </c>
      <c r="F88" s="6">
        <v>714502</v>
      </c>
      <c r="G88" s="5">
        <v>573000</v>
      </c>
      <c r="H88" s="11">
        <f t="shared" si="2"/>
        <v>1.2469493891797556</v>
      </c>
      <c r="I88" s="11">
        <v>1.2427999999999999</v>
      </c>
      <c r="J88" s="7">
        <v>8.1941090524196625E-2</v>
      </c>
      <c r="K88" s="7">
        <v>797.4</v>
      </c>
      <c r="L88" s="10">
        <v>0.99395559834011904</v>
      </c>
      <c r="M88" s="7">
        <v>88.332420349121094</v>
      </c>
      <c r="N88" s="7">
        <f t="shared" si="3"/>
        <v>88.332420349121094</v>
      </c>
      <c r="O88" s="7">
        <v>1.34E-2</v>
      </c>
      <c r="P88" s="7">
        <v>-0.96</v>
      </c>
      <c r="Q88" s="7">
        <v>-0.12</v>
      </c>
      <c r="S88">
        <v>201912</v>
      </c>
      <c r="T88" s="16">
        <v>74.279891967773438</v>
      </c>
      <c r="U88" s="13"/>
    </row>
    <row r="89" spans="1:21" x14ac:dyDescent="0.25">
      <c r="A89" s="4">
        <v>201604</v>
      </c>
      <c r="B89" s="4" t="s">
        <v>5</v>
      </c>
      <c r="C89" s="4" t="s">
        <v>6</v>
      </c>
      <c r="D89" s="4" t="s">
        <v>7</v>
      </c>
      <c r="E89" s="4">
        <v>71360</v>
      </c>
      <c r="F89" s="6">
        <v>591218</v>
      </c>
      <c r="G89" s="5">
        <v>500000</v>
      </c>
      <c r="H89" s="11">
        <f t="shared" si="2"/>
        <v>1.182436</v>
      </c>
      <c r="I89" s="11">
        <v>1.4457</v>
      </c>
      <c r="J89" s="7">
        <v>0.13477715849876404</v>
      </c>
      <c r="K89" s="7">
        <v>797.4</v>
      </c>
      <c r="L89" s="10">
        <v>0.67712172472953702</v>
      </c>
      <c r="M89" s="7">
        <v>85.221450805664063</v>
      </c>
      <c r="N89" s="7">
        <f t="shared" si="3"/>
        <v>85.221450805664063</v>
      </c>
      <c r="O89" s="7">
        <v>1.0800000000000001E-2</v>
      </c>
      <c r="P89" s="7">
        <v>-0.96</v>
      </c>
      <c r="Q89" s="7">
        <v>-0.12</v>
      </c>
      <c r="S89">
        <v>202001</v>
      </c>
      <c r="T89" s="16">
        <v>138.42094421386719</v>
      </c>
      <c r="U89" s="13"/>
    </row>
    <row r="90" spans="1:21" x14ac:dyDescent="0.25">
      <c r="A90" s="4">
        <v>201603</v>
      </c>
      <c r="B90" s="4" t="s">
        <v>5</v>
      </c>
      <c r="C90" s="4" t="s">
        <v>6</v>
      </c>
      <c r="D90" s="4" t="s">
        <v>7</v>
      </c>
      <c r="E90" s="4">
        <v>71360</v>
      </c>
      <c r="F90" s="6">
        <v>663058</v>
      </c>
      <c r="G90" s="5">
        <v>574000</v>
      </c>
      <c r="H90" s="11">
        <f t="shared" si="2"/>
        <v>1.1551533101045297</v>
      </c>
      <c r="I90" s="11">
        <v>1.2677</v>
      </c>
      <c r="J90" s="7">
        <v>0.15390883386135101</v>
      </c>
      <c r="K90" s="7">
        <v>797.4</v>
      </c>
      <c r="L90" s="10">
        <v>0.80687057735483902</v>
      </c>
      <c r="M90" s="7">
        <v>109.72029113769531</v>
      </c>
      <c r="N90" s="7">
        <f t="shared" si="3"/>
        <v>109.72029113769531</v>
      </c>
      <c r="O90" s="7">
        <v>1.3299999999999999E-2</v>
      </c>
      <c r="P90" s="7">
        <v>-0.96</v>
      </c>
      <c r="Q90" s="7">
        <v>-0.12</v>
      </c>
      <c r="S90">
        <v>202002</v>
      </c>
      <c r="T90" s="16">
        <v>75.955558776855469</v>
      </c>
      <c r="U90" s="13"/>
    </row>
    <row r="91" spans="1:21" x14ac:dyDescent="0.25">
      <c r="A91" s="4">
        <v>201602</v>
      </c>
      <c r="B91" s="4" t="s">
        <v>5</v>
      </c>
      <c r="C91" s="4" t="s">
        <v>6</v>
      </c>
      <c r="D91" s="4" t="s">
        <v>7</v>
      </c>
      <c r="E91" s="4">
        <v>71360</v>
      </c>
      <c r="F91" s="6">
        <v>744134</v>
      </c>
      <c r="G91" s="5">
        <v>644000</v>
      </c>
      <c r="H91" s="11">
        <f t="shared" si="2"/>
        <v>1.1554875776397515</v>
      </c>
      <c r="I91" s="11">
        <v>1.2935000000000001</v>
      </c>
      <c r="J91" s="7">
        <v>8.3178393542766571E-2</v>
      </c>
      <c r="K91" s="7">
        <v>797.4</v>
      </c>
      <c r="L91" s="10">
        <v>0.77879342247377203</v>
      </c>
      <c r="M91" s="7">
        <v>103.74964904785156</v>
      </c>
      <c r="N91" s="7">
        <f t="shared" si="3"/>
        <v>103.74964904785156</v>
      </c>
      <c r="O91" s="7">
        <v>3.1300000000000001E-2</v>
      </c>
      <c r="P91" s="7">
        <v>-0.96</v>
      </c>
      <c r="Q91" s="7">
        <v>-0.12</v>
      </c>
      <c r="S91">
        <v>202003</v>
      </c>
      <c r="T91" s="16">
        <v>81.540031433105469</v>
      </c>
      <c r="U91" s="13"/>
    </row>
    <row r="92" spans="1:21" x14ac:dyDescent="0.25">
      <c r="A92" s="4">
        <v>201601</v>
      </c>
      <c r="B92" s="4" t="s">
        <v>5</v>
      </c>
      <c r="C92" s="4" t="s">
        <v>6</v>
      </c>
      <c r="D92" s="4" t="s">
        <v>7</v>
      </c>
      <c r="E92" s="4">
        <v>71360</v>
      </c>
      <c r="F92" s="6">
        <v>3581000</v>
      </c>
      <c r="G92" s="5">
        <v>3540000</v>
      </c>
      <c r="H92" s="11">
        <f t="shared" si="2"/>
        <v>1.0115819209039547</v>
      </c>
      <c r="I92" s="11">
        <v>1.0373000000000001</v>
      </c>
      <c r="J92" s="7">
        <v>0.22246940433979034</v>
      </c>
      <c r="K92" s="7">
        <v>797.4</v>
      </c>
      <c r="L92" s="10">
        <v>0.94215370918101204</v>
      </c>
      <c r="M92" s="7">
        <v>118.21114349365234</v>
      </c>
      <c r="N92" s="7">
        <f t="shared" si="3"/>
        <v>118.21114349365234</v>
      </c>
      <c r="O92" s="7">
        <v>0.17680000000000001</v>
      </c>
      <c r="P92" s="7">
        <v>-0.96</v>
      </c>
      <c r="Q92" s="7">
        <v>-0.12</v>
      </c>
      <c r="S92">
        <v>202004</v>
      </c>
      <c r="T92" s="16">
        <v>69.339401245117188</v>
      </c>
      <c r="U92" s="13"/>
    </row>
    <row r="93" spans="1:21" x14ac:dyDescent="0.25">
      <c r="A93" s="4">
        <v>201512</v>
      </c>
      <c r="B93" s="4" t="s">
        <v>5</v>
      </c>
      <c r="C93" s="4" t="s">
        <v>6</v>
      </c>
      <c r="D93" s="4" t="s">
        <v>7</v>
      </c>
      <c r="E93" s="4">
        <v>71360</v>
      </c>
      <c r="F93" s="6">
        <v>12063460</v>
      </c>
      <c r="G93" s="5">
        <v>11178000</v>
      </c>
      <c r="H93" s="11">
        <f t="shared" si="2"/>
        <v>1.0792145285382</v>
      </c>
      <c r="I93" s="11">
        <v>1.8245</v>
      </c>
      <c r="J93" s="7">
        <v>0.26559117436408997</v>
      </c>
      <c r="K93" s="7">
        <v>757.9</v>
      </c>
      <c r="L93" s="10">
        <v>0.97449328967843096</v>
      </c>
      <c r="M93" s="7">
        <v>148.23687744140625</v>
      </c>
      <c r="N93" s="7">
        <f t="shared" si="3"/>
        <v>148.23687744140625</v>
      </c>
      <c r="O93" s="7">
        <v>0.29680000000000001</v>
      </c>
      <c r="P93" s="7">
        <v>-0.95</v>
      </c>
      <c r="Q93" s="7">
        <v>0.03</v>
      </c>
      <c r="S93">
        <v>202005</v>
      </c>
      <c r="T93" s="16">
        <v>68.507217407226563</v>
      </c>
      <c r="U93" s="13"/>
    </row>
    <row r="94" spans="1:21" x14ac:dyDescent="0.25">
      <c r="A94" s="4">
        <v>201511</v>
      </c>
      <c r="B94" s="4" t="s">
        <v>5</v>
      </c>
      <c r="C94" s="4" t="s">
        <v>6</v>
      </c>
      <c r="D94" s="4" t="s">
        <v>7</v>
      </c>
      <c r="E94" s="4">
        <v>71360</v>
      </c>
      <c r="F94" s="6">
        <v>7826759</v>
      </c>
      <c r="G94" s="5">
        <v>7684000</v>
      </c>
      <c r="H94" s="11">
        <f t="shared" si="2"/>
        <v>1.0185787350338364</v>
      </c>
      <c r="I94" s="11">
        <v>1.0269999999999999</v>
      </c>
      <c r="J94" s="7">
        <v>0.21461187303066254</v>
      </c>
      <c r="K94" s="7">
        <v>757.9</v>
      </c>
      <c r="L94" s="10">
        <v>0.97649648920799004</v>
      </c>
      <c r="M94" s="7">
        <v>150.71588134765625</v>
      </c>
      <c r="N94" s="7">
        <f t="shared" si="3"/>
        <v>150.71588134765625</v>
      </c>
      <c r="O94" s="7">
        <v>0.1235</v>
      </c>
      <c r="P94" s="7">
        <v>-0.95</v>
      </c>
      <c r="Q94" s="7">
        <v>0.03</v>
      </c>
      <c r="S94">
        <v>202006</v>
      </c>
      <c r="T94" s="16">
        <v>71.227859497070313</v>
      </c>
      <c r="U94" s="13"/>
    </row>
    <row r="95" spans="1:21" x14ac:dyDescent="0.25">
      <c r="A95" s="4">
        <v>201510</v>
      </c>
      <c r="B95" s="4" t="s">
        <v>5</v>
      </c>
      <c r="C95" s="4" t="s">
        <v>6</v>
      </c>
      <c r="D95" s="4" t="s">
        <v>7</v>
      </c>
      <c r="E95" s="4">
        <v>71360</v>
      </c>
      <c r="F95" s="6">
        <v>22766151</v>
      </c>
      <c r="G95" s="5">
        <v>22600000</v>
      </c>
      <c r="H95" s="11">
        <f t="shared" si="2"/>
        <v>1.0073518141592921</v>
      </c>
      <c r="I95" s="11">
        <v>1.0076000000000001</v>
      </c>
      <c r="J95" s="7">
        <v>8.5154697299003601E-2</v>
      </c>
      <c r="K95" s="7">
        <v>757.9</v>
      </c>
      <c r="L95" s="10">
        <v>0.99707492758597505</v>
      </c>
      <c r="M95" s="7">
        <v>91.931884765625</v>
      </c>
      <c r="N95" s="7">
        <f t="shared" si="3"/>
        <v>91.931884765625</v>
      </c>
      <c r="O95" s="7">
        <v>0.2555</v>
      </c>
      <c r="P95" s="7">
        <v>-0.95</v>
      </c>
      <c r="Q95" s="7">
        <v>0.03</v>
      </c>
      <c r="S95">
        <v>202007</v>
      </c>
      <c r="T95" s="16">
        <v>66.473281860351563</v>
      </c>
      <c r="U95" s="13"/>
    </row>
    <row r="96" spans="1:21" x14ac:dyDescent="0.25">
      <c r="A96" s="4">
        <v>201509</v>
      </c>
      <c r="B96" s="4" t="s">
        <v>5</v>
      </c>
      <c r="C96" s="4" t="s">
        <v>6</v>
      </c>
      <c r="D96" s="4" t="s">
        <v>7</v>
      </c>
      <c r="E96" s="4">
        <v>71360</v>
      </c>
      <c r="F96" s="6">
        <v>7711764</v>
      </c>
      <c r="G96" s="5">
        <v>8074000</v>
      </c>
      <c r="H96" s="11">
        <f t="shared" si="2"/>
        <v>0.95513549665593267</v>
      </c>
      <c r="I96" s="11">
        <v>0.95699999999999996</v>
      </c>
      <c r="J96" s="7">
        <v>6.5251432359218597E-2</v>
      </c>
      <c r="K96" s="7">
        <v>757.9</v>
      </c>
      <c r="L96" s="10">
        <v>0.99089090011290404</v>
      </c>
      <c r="M96" s="7">
        <v>98.7674560546875</v>
      </c>
      <c r="N96" s="7">
        <f t="shared" si="3"/>
        <v>98.7674560546875</v>
      </c>
      <c r="O96" s="7">
        <v>0.1358</v>
      </c>
      <c r="P96" s="7">
        <v>-0.95</v>
      </c>
      <c r="Q96" s="7">
        <v>0.03</v>
      </c>
      <c r="S96">
        <v>202008</v>
      </c>
      <c r="T96" s="16">
        <v>65.466049194335938</v>
      </c>
      <c r="U96" s="13"/>
    </row>
    <row r="97" spans="1:21" x14ac:dyDescent="0.25">
      <c r="A97" s="4">
        <v>201508</v>
      </c>
      <c r="B97" s="4" t="s">
        <v>5</v>
      </c>
      <c r="C97" s="4" t="s">
        <v>6</v>
      </c>
      <c r="D97" s="4" t="s">
        <v>7</v>
      </c>
      <c r="E97" s="4">
        <v>71360</v>
      </c>
      <c r="F97" s="6">
        <v>434898</v>
      </c>
      <c r="G97" s="5">
        <v>668000</v>
      </c>
      <c r="H97" s="11">
        <f t="shared" si="2"/>
        <v>0.65104491017964072</v>
      </c>
      <c r="I97" s="11">
        <v>0.67259999999999998</v>
      </c>
      <c r="J97" s="7">
        <v>9.8953917622566223E-2</v>
      </c>
      <c r="K97" s="7">
        <v>757.9</v>
      </c>
      <c r="L97" s="10">
        <v>0.88258644272801401</v>
      </c>
      <c r="M97" s="7">
        <v>82.478530883789063</v>
      </c>
      <c r="N97" s="7">
        <f t="shared" si="3"/>
        <v>82.478530883789063</v>
      </c>
      <c r="O97" s="7">
        <v>2.81E-2</v>
      </c>
      <c r="P97" s="7">
        <v>-0.95</v>
      </c>
      <c r="Q97" s="7">
        <v>0.03</v>
      </c>
      <c r="S97">
        <v>202009</v>
      </c>
      <c r="T97" s="16">
        <v>80.37738037109375</v>
      </c>
      <c r="U97" s="13"/>
    </row>
    <row r="98" spans="1:21" x14ac:dyDescent="0.25">
      <c r="A98" s="4">
        <v>201507</v>
      </c>
      <c r="B98" s="4" t="s">
        <v>5</v>
      </c>
      <c r="C98" s="4" t="s">
        <v>6</v>
      </c>
      <c r="D98" s="4" t="s">
        <v>7</v>
      </c>
      <c r="E98" s="4">
        <v>71360</v>
      </c>
      <c r="F98" s="6">
        <v>947365</v>
      </c>
      <c r="G98" s="5">
        <v>1027000</v>
      </c>
      <c r="H98" s="11">
        <f t="shared" si="2"/>
        <v>0.92245861733203505</v>
      </c>
      <c r="I98" s="11">
        <v>0.96889999999999998</v>
      </c>
      <c r="J98" s="7">
        <v>0.18615524470806122</v>
      </c>
      <c r="K98" s="7">
        <v>757.9</v>
      </c>
      <c r="L98" s="10">
        <v>0.90098242477270096</v>
      </c>
      <c r="M98" s="7">
        <v>106.80866241455078</v>
      </c>
      <c r="N98" s="7">
        <f t="shared" si="3"/>
        <v>106.80866241455078</v>
      </c>
      <c r="O98" s="7">
        <v>3.2099999999999997E-2</v>
      </c>
      <c r="P98" s="7">
        <v>-0.95</v>
      </c>
      <c r="Q98" s="7">
        <v>0.03</v>
      </c>
      <c r="S98">
        <v>202010</v>
      </c>
      <c r="T98" s="16">
        <v>76.083168029785156</v>
      </c>
      <c r="U98" s="13"/>
    </row>
    <row r="99" spans="1:21" x14ac:dyDescent="0.25">
      <c r="A99" s="4">
        <v>201506</v>
      </c>
      <c r="B99" s="4" t="s">
        <v>5</v>
      </c>
      <c r="C99" s="4" t="s">
        <v>6</v>
      </c>
      <c r="D99" s="4" t="s">
        <v>7</v>
      </c>
      <c r="E99" s="4">
        <v>71360</v>
      </c>
      <c r="F99" s="6">
        <v>43608</v>
      </c>
      <c r="G99" s="5">
        <v>43000</v>
      </c>
      <c r="H99" s="11">
        <f t="shared" si="2"/>
        <v>1.014139534883721</v>
      </c>
      <c r="I99" s="11">
        <v>1.2239</v>
      </c>
      <c r="J99" s="7">
        <v>0.10393209755420685</v>
      </c>
      <c r="K99" s="7">
        <v>757.9</v>
      </c>
      <c r="L99" s="10">
        <v>0.13864231757255099</v>
      </c>
      <c r="M99" s="7">
        <v>85.905967712402344</v>
      </c>
      <c r="N99" s="7">
        <f t="shared" si="3"/>
        <v>85.905967712402344</v>
      </c>
      <c r="O99" s="7">
        <v>1.1999999999999999E-3</v>
      </c>
      <c r="P99" s="7">
        <v>-0.95</v>
      </c>
      <c r="Q99" s="7">
        <v>0.03</v>
      </c>
      <c r="S99">
        <v>202011</v>
      </c>
      <c r="T99" s="16">
        <v>70.067466735839844</v>
      </c>
      <c r="U99" s="13"/>
    </row>
    <row r="100" spans="1:21" x14ac:dyDescent="0.25">
      <c r="A100" s="4">
        <v>201505</v>
      </c>
      <c r="B100" s="4" t="s">
        <v>5</v>
      </c>
      <c r="C100" s="4" t="s">
        <v>6</v>
      </c>
      <c r="D100" s="4" t="s">
        <v>7</v>
      </c>
      <c r="E100" s="4">
        <v>71360</v>
      </c>
      <c r="F100" s="6">
        <v>295889</v>
      </c>
      <c r="G100" s="5">
        <v>428600</v>
      </c>
      <c r="H100" s="11">
        <f t="shared" si="2"/>
        <v>0.69036164255716281</v>
      </c>
      <c r="I100" s="11">
        <v>0.77380000000000004</v>
      </c>
      <c r="J100" s="7">
        <v>0.10688785463571548</v>
      </c>
      <c r="K100" s="7">
        <v>757.9</v>
      </c>
      <c r="L100" s="10">
        <v>0.76389598855791496</v>
      </c>
      <c r="M100" s="7">
        <v>76.2623291015625</v>
      </c>
      <c r="N100" s="7">
        <f t="shared" si="3"/>
        <v>76.2623291015625</v>
      </c>
      <c r="O100" s="7">
        <v>8.0999999999999996E-3</v>
      </c>
      <c r="P100" s="7">
        <v>-0.95</v>
      </c>
      <c r="Q100" s="7">
        <v>0.03</v>
      </c>
      <c r="S100">
        <v>202012</v>
      </c>
      <c r="T100" s="16">
        <v>64.067291259765625</v>
      </c>
      <c r="U100" s="13"/>
    </row>
    <row r="101" spans="1:21" x14ac:dyDescent="0.25">
      <c r="A101" s="4">
        <v>201504</v>
      </c>
      <c r="B101" s="4" t="s">
        <v>5</v>
      </c>
      <c r="C101" s="4" t="s">
        <v>6</v>
      </c>
      <c r="D101" s="4" t="s">
        <v>7</v>
      </c>
      <c r="E101" s="4">
        <v>71360</v>
      </c>
      <c r="F101" s="6">
        <v>1210306</v>
      </c>
      <c r="G101" s="5">
        <v>1675000</v>
      </c>
      <c r="H101" s="11">
        <f t="shared" si="2"/>
        <v>0.72257074626865669</v>
      </c>
      <c r="I101" s="11">
        <v>0.81299999999999994</v>
      </c>
      <c r="J101" s="7">
        <v>0.18705096840858459</v>
      </c>
      <c r="K101" s="7">
        <v>757.9</v>
      </c>
      <c r="L101" s="10">
        <v>0.74334353688017096</v>
      </c>
      <c r="M101" s="7">
        <v>102.19049072265625</v>
      </c>
      <c r="N101" s="7">
        <f t="shared" si="3"/>
        <v>102.19049072265625</v>
      </c>
      <c r="O101" s="7">
        <v>2.7799999999999998E-2</v>
      </c>
      <c r="P101" s="7">
        <v>-0.95</v>
      </c>
      <c r="Q101" s="7">
        <v>0.03</v>
      </c>
      <c r="S101">
        <v>202101</v>
      </c>
      <c r="T101" s="16">
        <v>77.418701171875</v>
      </c>
      <c r="U101" s="13"/>
    </row>
    <row r="102" spans="1:21" x14ac:dyDescent="0.25">
      <c r="A102" s="4">
        <v>201503</v>
      </c>
      <c r="B102" s="4" t="s">
        <v>5</v>
      </c>
      <c r="C102" s="4" t="s">
        <v>6</v>
      </c>
      <c r="D102" s="4" t="s">
        <v>7</v>
      </c>
      <c r="E102" s="4">
        <v>71360</v>
      </c>
      <c r="F102" s="6">
        <v>960336</v>
      </c>
      <c r="G102" s="5">
        <v>1025000</v>
      </c>
      <c r="H102" s="11">
        <f t="shared" si="2"/>
        <v>0.93691317073170732</v>
      </c>
      <c r="I102" s="11">
        <v>0.94479999999999997</v>
      </c>
      <c r="J102" s="7">
        <v>0.13181200623512268</v>
      </c>
      <c r="K102" s="7">
        <v>757.9</v>
      </c>
      <c r="L102" s="10">
        <v>0.89914049772484606</v>
      </c>
      <c r="M102" s="7">
        <v>104.23526763916016</v>
      </c>
      <c r="N102" s="7">
        <f t="shared" si="3"/>
        <v>104.23526763916016</v>
      </c>
      <c r="O102" s="7">
        <v>2.06E-2</v>
      </c>
      <c r="P102" s="7">
        <v>-0.95</v>
      </c>
      <c r="Q102" s="7">
        <v>0.03</v>
      </c>
      <c r="S102">
        <v>202102</v>
      </c>
      <c r="T102" s="16">
        <v>73.956802368164063</v>
      </c>
      <c r="U102" s="13"/>
    </row>
    <row r="103" spans="1:21" x14ac:dyDescent="0.25">
      <c r="A103" s="4">
        <v>201502</v>
      </c>
      <c r="B103" s="4" t="s">
        <v>5</v>
      </c>
      <c r="C103" s="4" t="s">
        <v>6</v>
      </c>
      <c r="D103" s="4" t="s">
        <v>7</v>
      </c>
      <c r="E103" s="4">
        <v>71360</v>
      </c>
      <c r="F103" s="6">
        <v>2453117</v>
      </c>
      <c r="G103" s="5">
        <v>3262000</v>
      </c>
      <c r="H103" s="11">
        <f t="shared" si="2"/>
        <v>0.75202851011649297</v>
      </c>
      <c r="I103" s="11">
        <v>0.76619999999999999</v>
      </c>
      <c r="J103" s="7">
        <v>0.1231527104973793</v>
      </c>
      <c r="K103" s="7">
        <v>757.9</v>
      </c>
      <c r="L103" s="10">
        <v>0.933398550162166</v>
      </c>
      <c r="M103" s="7">
        <v>111.92469787597656</v>
      </c>
      <c r="N103" s="7">
        <f t="shared" si="3"/>
        <v>111.92469787597656</v>
      </c>
      <c r="O103" s="7">
        <v>0.1012</v>
      </c>
      <c r="P103" s="7">
        <v>-0.95</v>
      </c>
      <c r="Q103" s="7">
        <v>0.03</v>
      </c>
      <c r="S103">
        <v>202103</v>
      </c>
      <c r="T103" s="16">
        <v>78.618766784667969</v>
      </c>
      <c r="U103" s="13"/>
    </row>
    <row r="104" spans="1:21" x14ac:dyDescent="0.25">
      <c r="A104" s="4">
        <v>201501</v>
      </c>
      <c r="B104" s="4" t="s">
        <v>5</v>
      </c>
      <c r="C104" s="4" t="s">
        <v>6</v>
      </c>
      <c r="D104" s="4" t="s">
        <v>7</v>
      </c>
      <c r="E104" s="4">
        <v>71360</v>
      </c>
      <c r="F104" s="6">
        <v>3803905</v>
      </c>
      <c r="G104" s="5">
        <v>4998000</v>
      </c>
      <c r="H104" s="11">
        <f t="shared" si="2"/>
        <v>0.76108543417366947</v>
      </c>
      <c r="I104" s="11">
        <v>0.77100000000000002</v>
      </c>
      <c r="J104" s="7">
        <v>0.21778281033039093</v>
      </c>
      <c r="K104" s="7">
        <v>757.9</v>
      </c>
      <c r="L104" s="10">
        <v>0.95609590454486104</v>
      </c>
      <c r="M104" s="7">
        <v>111.98569488525391</v>
      </c>
      <c r="N104" s="7">
        <f t="shared" si="3"/>
        <v>111.98569488525391</v>
      </c>
      <c r="O104" s="7">
        <v>0.1144</v>
      </c>
      <c r="P104" s="7">
        <v>-0.95</v>
      </c>
      <c r="Q104" s="7">
        <v>0.03</v>
      </c>
      <c r="S104">
        <v>202104</v>
      </c>
      <c r="T104" s="16">
        <v>88.166221618652344</v>
      </c>
      <c r="U104" s="13"/>
    </row>
    <row r="105" spans="1:21" x14ac:dyDescent="0.25">
      <c r="A105" s="4">
        <v>201412</v>
      </c>
      <c r="B105" s="4" t="s">
        <v>5</v>
      </c>
      <c r="C105" s="4" t="s">
        <v>6</v>
      </c>
      <c r="D105" s="4" t="s">
        <v>7</v>
      </c>
      <c r="E105" s="4">
        <v>71360</v>
      </c>
      <c r="F105" s="6">
        <v>6989448</v>
      </c>
      <c r="G105" s="5">
        <v>9655000</v>
      </c>
      <c r="H105" s="11">
        <f t="shared" si="2"/>
        <v>0.72392004142931121</v>
      </c>
      <c r="I105" s="11">
        <v>0.71860000000000002</v>
      </c>
      <c r="J105" s="7">
        <v>0.20030480623245239</v>
      </c>
      <c r="K105" s="7">
        <v>715.2</v>
      </c>
      <c r="L105" s="10">
        <v>0.98782937666294202</v>
      </c>
      <c r="M105" s="7">
        <v>86.526222229003906</v>
      </c>
      <c r="N105" s="7">
        <f t="shared" si="3"/>
        <v>86.526222229003906</v>
      </c>
      <c r="O105" s="7">
        <v>0.1019</v>
      </c>
      <c r="P105" s="7">
        <v>-1</v>
      </c>
      <c r="Q105" s="7">
        <v>0.08</v>
      </c>
      <c r="S105">
        <v>202105</v>
      </c>
      <c r="T105" s="16">
        <v>93.007133483886719</v>
      </c>
      <c r="U105" s="13"/>
    </row>
    <row r="106" spans="1:21" x14ac:dyDescent="0.25">
      <c r="A106" s="4">
        <v>201411</v>
      </c>
      <c r="B106" s="4" t="s">
        <v>5</v>
      </c>
      <c r="C106" s="4" t="s">
        <v>6</v>
      </c>
      <c r="D106" s="4" t="s">
        <v>7</v>
      </c>
      <c r="E106" s="4">
        <v>71360</v>
      </c>
      <c r="F106" s="6">
        <v>14631294</v>
      </c>
      <c r="G106" s="5">
        <v>20437000</v>
      </c>
      <c r="H106" s="11">
        <f t="shared" si="2"/>
        <v>0.71592180848461129</v>
      </c>
      <c r="I106" s="11">
        <v>0.71530000000000005</v>
      </c>
      <c r="J106" s="7">
        <v>0.15289904177188873</v>
      </c>
      <c r="K106" s="7">
        <v>715.2</v>
      </c>
      <c r="L106" s="10">
        <v>0.98867950588506204</v>
      </c>
      <c r="M106" s="7">
        <v>84.380050659179688</v>
      </c>
      <c r="N106" s="7">
        <f t="shared" si="3"/>
        <v>84.380050659179688</v>
      </c>
      <c r="O106" s="7">
        <v>0.19969999999999999</v>
      </c>
      <c r="P106" s="7">
        <v>-1</v>
      </c>
      <c r="Q106" s="7">
        <v>0.08</v>
      </c>
      <c r="S106">
        <v>202106</v>
      </c>
      <c r="T106" s="16">
        <v>74.127120971679688</v>
      </c>
      <c r="U106" s="13"/>
    </row>
    <row r="107" spans="1:21" x14ac:dyDescent="0.25">
      <c r="A107" s="4">
        <v>201410</v>
      </c>
      <c r="B107" s="4" t="s">
        <v>5</v>
      </c>
      <c r="C107" s="4" t="s">
        <v>6</v>
      </c>
      <c r="D107" s="4" t="s">
        <v>7</v>
      </c>
      <c r="E107" s="4">
        <v>71360</v>
      </c>
      <c r="F107" s="6">
        <v>3648426</v>
      </c>
      <c r="G107" s="5">
        <v>5199000</v>
      </c>
      <c r="H107" s="11">
        <f t="shared" si="2"/>
        <v>0.70175533756491637</v>
      </c>
      <c r="I107" s="11">
        <v>0.67130000000000001</v>
      </c>
      <c r="J107" s="7">
        <v>0.1330697238445282</v>
      </c>
      <c r="K107" s="7">
        <v>715.2</v>
      </c>
      <c r="L107" s="10">
        <v>0.94655273730131595</v>
      </c>
      <c r="M107" s="7">
        <v>83.661003112792969</v>
      </c>
      <c r="N107" s="7">
        <f t="shared" si="3"/>
        <v>83.661003112792969</v>
      </c>
      <c r="O107" s="7">
        <v>6.3799999999999996E-2</v>
      </c>
      <c r="P107" s="7">
        <v>-1</v>
      </c>
      <c r="Q107" s="7">
        <v>0.08</v>
      </c>
      <c r="S107">
        <v>202107</v>
      </c>
      <c r="T107" s="16">
        <v>58.420768737792969</v>
      </c>
      <c r="U107" s="13"/>
    </row>
    <row r="108" spans="1:21" x14ac:dyDescent="0.25">
      <c r="A108" s="4">
        <v>201409</v>
      </c>
      <c r="B108" s="4" t="s">
        <v>5</v>
      </c>
      <c r="C108" s="4" t="s">
        <v>6</v>
      </c>
      <c r="D108" s="4" t="s">
        <v>7</v>
      </c>
      <c r="E108" s="4">
        <v>71360</v>
      </c>
      <c r="F108" s="6">
        <v>134304</v>
      </c>
      <c r="G108" s="5">
        <v>219000</v>
      </c>
      <c r="H108" s="11">
        <f t="shared" si="2"/>
        <v>0.61326027397260274</v>
      </c>
      <c r="I108" s="11">
        <v>0.79269999999999996</v>
      </c>
      <c r="J108" s="7">
        <v>0.14049454033374786</v>
      </c>
      <c r="K108" s="7">
        <v>715.2</v>
      </c>
      <c r="L108" s="10">
        <v>0.82933395907176599</v>
      </c>
      <c r="M108" s="7">
        <v>131.55665588378906</v>
      </c>
      <c r="N108" s="7">
        <f t="shared" si="3"/>
        <v>131.55665588378906</v>
      </c>
      <c r="O108" s="7">
        <v>4.7000000000000002E-3</v>
      </c>
      <c r="P108" s="7">
        <v>-1</v>
      </c>
      <c r="Q108" s="7">
        <v>0.08</v>
      </c>
      <c r="S108">
        <v>202108</v>
      </c>
      <c r="T108" s="16">
        <v>89.486549377441406</v>
      </c>
      <c r="U108" s="13"/>
    </row>
    <row r="109" spans="1:21" x14ac:dyDescent="0.25">
      <c r="A109" s="4">
        <v>201408</v>
      </c>
      <c r="B109" s="4" t="s">
        <v>5</v>
      </c>
      <c r="C109" s="4" t="s">
        <v>6</v>
      </c>
      <c r="D109" s="4" t="s">
        <v>7</v>
      </c>
      <c r="E109" s="4">
        <v>71360</v>
      </c>
      <c r="F109" s="6">
        <v>171125</v>
      </c>
      <c r="G109" s="5">
        <v>240000</v>
      </c>
      <c r="H109" s="11">
        <f t="shared" si="2"/>
        <v>0.71302083333333333</v>
      </c>
      <c r="I109" s="11">
        <v>0.74360000000000004</v>
      </c>
      <c r="J109" s="7">
        <v>0.16138376295566559</v>
      </c>
      <c r="K109" s="7">
        <v>715.2</v>
      </c>
      <c r="L109" s="10">
        <v>0.69205726533748502</v>
      </c>
      <c r="M109" s="7">
        <v>136.44558715820313</v>
      </c>
      <c r="N109" s="7">
        <f t="shared" si="3"/>
        <v>136.44558715820313</v>
      </c>
      <c r="O109" s="7">
        <v>1.46E-2</v>
      </c>
      <c r="P109" s="7">
        <v>-1</v>
      </c>
      <c r="Q109" s="7">
        <v>0.08</v>
      </c>
      <c r="S109">
        <v>202109</v>
      </c>
      <c r="T109" s="16">
        <v>80.696968078613281</v>
      </c>
      <c r="U109" s="13"/>
    </row>
    <row r="110" spans="1:21" x14ac:dyDescent="0.25">
      <c r="A110" s="4">
        <v>201407</v>
      </c>
      <c r="B110" s="4" t="s">
        <v>5</v>
      </c>
      <c r="C110" s="4" t="s">
        <v>6</v>
      </c>
      <c r="D110" s="4" t="s">
        <v>7</v>
      </c>
      <c r="E110" s="4">
        <v>71360</v>
      </c>
      <c r="F110" s="6">
        <v>149886</v>
      </c>
      <c r="G110" s="5">
        <v>240000</v>
      </c>
      <c r="H110" s="11">
        <f t="shared" si="2"/>
        <v>0.624525</v>
      </c>
      <c r="I110" s="11">
        <v>0.67349999999999999</v>
      </c>
      <c r="J110" s="7">
        <v>0.14513218402862549</v>
      </c>
      <c r="K110" s="7">
        <v>715.2</v>
      </c>
      <c r="L110" s="10">
        <v>0.57442111798385798</v>
      </c>
      <c r="M110" s="7">
        <v>138.75395202636719</v>
      </c>
      <c r="N110" s="7">
        <f t="shared" si="3"/>
        <v>138.75395202636719</v>
      </c>
      <c r="O110" s="7">
        <v>6.0000000000000001E-3</v>
      </c>
      <c r="P110" s="7">
        <v>-1</v>
      </c>
      <c r="Q110" s="7">
        <v>0.08</v>
      </c>
      <c r="S110">
        <v>202110</v>
      </c>
      <c r="T110" s="16">
        <v>79.02923583984375</v>
      </c>
      <c r="U110" s="13"/>
    </row>
    <row r="111" spans="1:21" x14ac:dyDescent="0.25">
      <c r="A111" s="4">
        <v>201406</v>
      </c>
      <c r="B111" s="4" t="s">
        <v>5</v>
      </c>
      <c r="C111" s="4" t="s">
        <v>6</v>
      </c>
      <c r="D111" s="4" t="s">
        <v>7</v>
      </c>
      <c r="E111" s="4">
        <v>71360</v>
      </c>
      <c r="F111" s="6">
        <v>265899</v>
      </c>
      <c r="G111" s="5">
        <v>410050</v>
      </c>
      <c r="H111" s="11">
        <f t="shared" si="2"/>
        <v>0.64845506645531037</v>
      </c>
      <c r="I111" s="11">
        <v>0.6099</v>
      </c>
      <c r="J111" s="7">
        <v>0.11897207796573639</v>
      </c>
      <c r="K111" s="7">
        <v>715.2</v>
      </c>
      <c r="L111" s="10">
        <v>0.43528132965113497</v>
      </c>
      <c r="M111" s="7">
        <v>98.767105102539063</v>
      </c>
      <c r="N111" s="7">
        <f t="shared" si="3"/>
        <v>98.767105102539063</v>
      </c>
      <c r="O111" s="7">
        <v>9.1000000000000004E-3</v>
      </c>
      <c r="P111" s="7">
        <v>-1</v>
      </c>
      <c r="Q111" s="7">
        <v>0.08</v>
      </c>
      <c r="S111">
        <v>202111</v>
      </c>
      <c r="T111" s="16">
        <v>86.569145202636719</v>
      </c>
      <c r="U111" s="13"/>
    </row>
    <row r="112" spans="1:21" x14ac:dyDescent="0.25">
      <c r="A112" s="4">
        <v>201405</v>
      </c>
      <c r="B112" s="4" t="s">
        <v>5</v>
      </c>
      <c r="C112" s="4" t="s">
        <v>6</v>
      </c>
      <c r="D112" s="4" t="s">
        <v>7</v>
      </c>
      <c r="E112" s="4">
        <v>71360</v>
      </c>
      <c r="F112" s="6">
        <v>76954</v>
      </c>
      <c r="G112" s="5">
        <v>120000</v>
      </c>
      <c r="H112" s="11">
        <f t="shared" si="2"/>
        <v>0.64128333333333332</v>
      </c>
      <c r="I112" s="11">
        <v>0.86960000000000004</v>
      </c>
      <c r="J112" s="7">
        <v>0.10159924626350403</v>
      </c>
      <c r="K112" s="7">
        <v>715.2</v>
      </c>
      <c r="L112" s="10">
        <v>0.17074442474655899</v>
      </c>
      <c r="M112" s="7">
        <v>83.428855895996094</v>
      </c>
      <c r="N112" s="7">
        <f t="shared" si="3"/>
        <v>83.428855895996094</v>
      </c>
      <c r="O112" s="7">
        <v>4.1999999999999997E-3</v>
      </c>
      <c r="P112" s="7">
        <v>-1</v>
      </c>
      <c r="Q112" s="7">
        <v>0.08</v>
      </c>
      <c r="S112">
        <v>202112</v>
      </c>
      <c r="T112" s="16">
        <v>105.34542083740234</v>
      </c>
      <c r="U112" s="13"/>
    </row>
    <row r="113" spans="1:21" x14ac:dyDescent="0.25">
      <c r="A113" s="4">
        <v>201404</v>
      </c>
      <c r="B113" s="4" t="s">
        <v>5</v>
      </c>
      <c r="C113" s="4" t="s">
        <v>6</v>
      </c>
      <c r="D113" s="4" t="s">
        <v>7</v>
      </c>
      <c r="E113" s="4">
        <v>71360</v>
      </c>
      <c r="F113" s="6">
        <v>98240</v>
      </c>
      <c r="G113" s="5">
        <v>137350</v>
      </c>
      <c r="H113" s="11">
        <f t="shared" si="2"/>
        <v>0.71525300327630137</v>
      </c>
      <c r="I113" s="11">
        <v>0.71630000000000005</v>
      </c>
      <c r="J113" s="7">
        <v>0.10253579169511795</v>
      </c>
      <c r="K113" s="7">
        <v>715.2</v>
      </c>
      <c r="L113" s="10">
        <v>5.3258014588489097E-2</v>
      </c>
      <c r="M113" s="7">
        <v>93.221542358398438</v>
      </c>
      <c r="N113" s="7">
        <f t="shared" si="3"/>
        <v>93.221542358398438</v>
      </c>
      <c r="O113" s="7">
        <v>8.2000000000000007E-3</v>
      </c>
      <c r="P113" s="7">
        <v>-1</v>
      </c>
      <c r="Q113" s="7">
        <v>0.08</v>
      </c>
      <c r="S113">
        <v>202201</v>
      </c>
      <c r="T113" s="16">
        <v>138.67498779296875</v>
      </c>
      <c r="U113" s="13"/>
    </row>
    <row r="114" spans="1:21" x14ac:dyDescent="0.25">
      <c r="A114" s="4">
        <v>201403</v>
      </c>
      <c r="B114" s="4" t="s">
        <v>5</v>
      </c>
      <c r="C114" s="4" t="s">
        <v>6</v>
      </c>
      <c r="D114" s="4" t="s">
        <v>7</v>
      </c>
      <c r="E114" s="4">
        <v>71360</v>
      </c>
      <c r="F114" s="6">
        <v>12994</v>
      </c>
      <c r="G114" s="5">
        <v>25000</v>
      </c>
      <c r="H114" s="11">
        <f t="shared" si="2"/>
        <v>0.51976</v>
      </c>
      <c r="I114" s="11">
        <v>0.6149</v>
      </c>
      <c r="J114" s="7">
        <v>0.24186046421527863</v>
      </c>
      <c r="K114" s="7">
        <v>715.2</v>
      </c>
      <c r="L114" s="10">
        <v>8.2342652911206293E-2</v>
      </c>
      <c r="M114" s="7">
        <v>119.83855438232422</v>
      </c>
      <c r="N114" s="7">
        <f t="shared" si="3"/>
        <v>119.83855438232422</v>
      </c>
      <c r="O114" s="7">
        <v>1E-3</v>
      </c>
      <c r="P114" s="7">
        <v>-1</v>
      </c>
      <c r="Q114" s="7">
        <v>0.08</v>
      </c>
      <c r="S114">
        <v>202202</v>
      </c>
      <c r="T114" s="16">
        <v>216.15901184082031</v>
      </c>
      <c r="U114" s="13"/>
    </row>
    <row r="115" spans="1:21" x14ac:dyDescent="0.25">
      <c r="A115" s="4">
        <v>201402</v>
      </c>
      <c r="B115" s="4" t="s">
        <v>5</v>
      </c>
      <c r="C115" s="4" t="s">
        <v>6</v>
      </c>
      <c r="D115" s="4" t="s">
        <v>7</v>
      </c>
      <c r="E115" s="4">
        <v>71360</v>
      </c>
      <c r="F115" s="6">
        <v>304026</v>
      </c>
      <c r="G115" s="5">
        <v>600000</v>
      </c>
      <c r="H115" s="11">
        <f t="shared" si="2"/>
        <v>0.50670999999999999</v>
      </c>
      <c r="I115" s="11">
        <v>0.55289999999999995</v>
      </c>
      <c r="J115" s="7">
        <v>0.10369141399860382</v>
      </c>
      <c r="K115" s="7">
        <v>715.2</v>
      </c>
      <c r="L115" s="10">
        <v>0.46688329837126902</v>
      </c>
      <c r="M115" s="7">
        <v>69.003524780273438</v>
      </c>
      <c r="N115" s="7">
        <f t="shared" si="3"/>
        <v>69.003524780273438</v>
      </c>
      <c r="O115" s="7">
        <v>2.1800000000000001E-3</v>
      </c>
      <c r="P115" s="7">
        <v>-1</v>
      </c>
      <c r="Q115" s="7">
        <v>0.08</v>
      </c>
      <c r="S115">
        <v>202203</v>
      </c>
      <c r="T115" s="16">
        <v>318.95492553710938</v>
      </c>
      <c r="U115" s="13"/>
    </row>
    <row r="116" spans="1:21" x14ac:dyDescent="0.25">
      <c r="A116" s="4">
        <v>201401</v>
      </c>
      <c r="B116" s="4" t="s">
        <v>5</v>
      </c>
      <c r="C116" s="4" t="s">
        <v>6</v>
      </c>
      <c r="D116" s="4" t="s">
        <v>7</v>
      </c>
      <c r="E116" s="4">
        <v>71360</v>
      </c>
      <c r="F116" s="6">
        <v>1465261</v>
      </c>
      <c r="G116" s="5">
        <v>2216000</v>
      </c>
      <c r="H116" s="11">
        <f t="shared" si="2"/>
        <v>0.66121886281588449</v>
      </c>
      <c r="I116" s="11">
        <v>1.2043999999999999</v>
      </c>
      <c r="J116" s="7">
        <v>9.4265513122081757E-2</v>
      </c>
      <c r="K116" s="7">
        <v>715.2</v>
      </c>
      <c r="L116" s="10">
        <v>0.57539898677132195</v>
      </c>
      <c r="M116" s="7">
        <v>77.915969848632813</v>
      </c>
      <c r="N116" s="7">
        <f t="shared" si="3"/>
        <v>77.915969848632813</v>
      </c>
      <c r="O116" s="7">
        <v>5.3E-3</v>
      </c>
      <c r="P116" s="7">
        <v>-1</v>
      </c>
      <c r="Q116" s="7">
        <v>0.08</v>
      </c>
      <c r="S116">
        <v>202204</v>
      </c>
      <c r="T116" s="16">
        <v>191.14309692382813</v>
      </c>
      <c r="U116" s="13"/>
    </row>
    <row r="117" spans="1:21" x14ac:dyDescent="0.25">
      <c r="A117" s="4">
        <v>201312</v>
      </c>
      <c r="B117" s="4" t="s">
        <v>5</v>
      </c>
      <c r="C117" s="4" t="s">
        <v>6</v>
      </c>
      <c r="D117" s="4" t="s">
        <v>7</v>
      </c>
      <c r="E117" s="4">
        <v>71360</v>
      </c>
      <c r="F117" s="6">
        <v>1788007</v>
      </c>
      <c r="G117" s="5">
        <v>3194000</v>
      </c>
      <c r="H117" s="11">
        <f t="shared" si="2"/>
        <v>0.55980181590482159</v>
      </c>
      <c r="I117" s="11">
        <v>0.5857</v>
      </c>
      <c r="J117" s="7">
        <v>7.9100750386714935E-2</v>
      </c>
      <c r="K117" s="7">
        <v>646.4</v>
      </c>
      <c r="L117" s="10">
        <v>0.88466103711751998</v>
      </c>
      <c r="M117" s="7">
        <v>70.372489929199219</v>
      </c>
      <c r="N117" s="7">
        <f t="shared" si="3"/>
        <v>70.372489929199219</v>
      </c>
      <c r="O117" s="7">
        <v>5.1999999999999998E-2</v>
      </c>
      <c r="P117" s="7">
        <v>-1.23</v>
      </c>
      <c r="Q117" s="7">
        <v>-0.21</v>
      </c>
      <c r="S117">
        <v>202205</v>
      </c>
      <c r="T117" s="16">
        <v>142.25848388671875</v>
      </c>
      <c r="U117" s="13"/>
    </row>
    <row r="118" spans="1:21" x14ac:dyDescent="0.25">
      <c r="A118" s="4">
        <v>201311</v>
      </c>
      <c r="B118" s="4" t="s">
        <v>5</v>
      </c>
      <c r="C118" s="4" t="s">
        <v>6</v>
      </c>
      <c r="D118" s="4" t="s">
        <v>7</v>
      </c>
      <c r="E118" s="4">
        <v>71360</v>
      </c>
      <c r="F118" s="6">
        <v>2382790</v>
      </c>
      <c r="G118" s="5">
        <v>4527000</v>
      </c>
      <c r="H118" s="11">
        <f t="shared" si="2"/>
        <v>0.52635078418378622</v>
      </c>
      <c r="I118" s="11">
        <v>0.51539999999999997</v>
      </c>
      <c r="J118" s="7">
        <v>0.15906079113483429</v>
      </c>
      <c r="K118" s="7">
        <v>646.4</v>
      </c>
      <c r="L118" s="10">
        <v>0.91326827847363801</v>
      </c>
      <c r="M118" s="7">
        <v>77.779022216796875</v>
      </c>
      <c r="N118" s="7">
        <f t="shared" si="3"/>
        <v>77.779022216796875</v>
      </c>
      <c r="O118" s="7">
        <v>6.9099999999999995E-2</v>
      </c>
      <c r="P118" s="7">
        <v>-1.23</v>
      </c>
      <c r="Q118" s="7">
        <v>-0.21</v>
      </c>
      <c r="S118">
        <v>202206</v>
      </c>
      <c r="T118" s="16">
        <v>130.70732116699219</v>
      </c>
      <c r="U118" s="13"/>
    </row>
    <row r="119" spans="1:21" x14ac:dyDescent="0.25">
      <c r="A119" s="4">
        <v>201310</v>
      </c>
      <c r="B119" s="4" t="s">
        <v>5</v>
      </c>
      <c r="C119" s="4" t="s">
        <v>6</v>
      </c>
      <c r="D119" s="4" t="s">
        <v>7</v>
      </c>
      <c r="E119" s="4">
        <v>71360</v>
      </c>
      <c r="F119" s="6">
        <v>1600783</v>
      </c>
      <c r="G119" s="5">
        <v>3004000</v>
      </c>
      <c r="H119" s="11">
        <f t="shared" si="2"/>
        <v>0.53288382157123837</v>
      </c>
      <c r="I119" s="11">
        <v>0.51170000000000004</v>
      </c>
      <c r="J119" s="7">
        <v>0.12658685445785522</v>
      </c>
      <c r="K119" s="7">
        <v>646.4</v>
      </c>
      <c r="L119" s="10">
        <v>0.85504512964155799</v>
      </c>
      <c r="M119" s="7">
        <v>72.953117370605469</v>
      </c>
      <c r="N119" s="7">
        <f t="shared" si="3"/>
        <v>72.953117370605469</v>
      </c>
      <c r="O119" s="7">
        <v>5.9400000000000001E-2</v>
      </c>
      <c r="P119" s="7">
        <v>-1.23</v>
      </c>
      <c r="Q119" s="7">
        <v>-0.21</v>
      </c>
      <c r="S119">
        <v>202207</v>
      </c>
      <c r="T119" s="16">
        <v>117.17676544189453</v>
      </c>
      <c r="U119" s="13"/>
    </row>
    <row r="120" spans="1:21" x14ac:dyDescent="0.25">
      <c r="A120" s="4">
        <v>201309</v>
      </c>
      <c r="B120" s="4" t="s">
        <v>5</v>
      </c>
      <c r="C120" s="4" t="s">
        <v>6</v>
      </c>
      <c r="D120" s="4" t="s">
        <v>7</v>
      </c>
      <c r="E120" s="4">
        <v>71360</v>
      </c>
      <c r="F120" s="6">
        <v>1942651</v>
      </c>
      <c r="G120" s="5">
        <v>2982000</v>
      </c>
      <c r="H120" s="11">
        <f t="shared" si="2"/>
        <v>0.65145908786049633</v>
      </c>
      <c r="I120" s="11">
        <v>0.64870000000000005</v>
      </c>
      <c r="J120" s="7">
        <v>0.12699145078659058</v>
      </c>
      <c r="K120" s="7">
        <v>646.4</v>
      </c>
      <c r="L120" s="10">
        <v>0.99430335334410502</v>
      </c>
      <c r="M120" s="7">
        <v>100.45932769775391</v>
      </c>
      <c r="N120" s="7">
        <f t="shared" si="3"/>
        <v>100.45932769775391</v>
      </c>
      <c r="O120" s="7">
        <v>8.5800000000000001E-2</v>
      </c>
      <c r="P120" s="7">
        <v>-1.23</v>
      </c>
      <c r="Q120" s="7">
        <v>-0.21</v>
      </c>
      <c r="S120">
        <v>202208</v>
      </c>
      <c r="T120" s="16">
        <v>132.86322021484375</v>
      </c>
      <c r="U120" s="13"/>
    </row>
    <row r="121" spans="1:21" x14ac:dyDescent="0.25">
      <c r="A121" s="4">
        <v>201308</v>
      </c>
      <c r="B121" s="4" t="s">
        <v>5</v>
      </c>
      <c r="C121" s="4" t="s">
        <v>6</v>
      </c>
      <c r="D121" s="4" t="s">
        <v>7</v>
      </c>
      <c r="E121" s="4">
        <v>71360</v>
      </c>
      <c r="F121" s="6">
        <v>981625</v>
      </c>
      <c r="G121" s="5">
        <v>1877000</v>
      </c>
      <c r="H121" s="11">
        <f t="shared" si="2"/>
        <v>0.52297549280767186</v>
      </c>
      <c r="I121" s="11">
        <v>0.52859999999999996</v>
      </c>
      <c r="J121" s="7">
        <v>0.17600917816162109</v>
      </c>
      <c r="K121" s="7">
        <v>646.4</v>
      </c>
      <c r="L121" s="10">
        <v>0.97740262067866801</v>
      </c>
      <c r="M121" s="7">
        <v>90.956748962402344</v>
      </c>
      <c r="N121" s="7">
        <f t="shared" si="3"/>
        <v>90.956748962402344</v>
      </c>
      <c r="O121" s="7">
        <v>5.2200000000000003E-2</v>
      </c>
      <c r="P121" s="7">
        <v>-1.23</v>
      </c>
      <c r="Q121" s="7">
        <v>-0.21</v>
      </c>
      <c r="S121">
        <v>202209</v>
      </c>
      <c r="T121" s="16">
        <v>131.98587036132813</v>
      </c>
      <c r="U121" s="13"/>
    </row>
    <row r="122" spans="1:21" x14ac:dyDescent="0.25">
      <c r="A122" s="4">
        <v>201307</v>
      </c>
      <c r="B122" s="4" t="s">
        <v>5</v>
      </c>
      <c r="C122" s="4" t="s">
        <v>6</v>
      </c>
      <c r="D122" s="4" t="s">
        <v>7</v>
      </c>
      <c r="E122" s="4">
        <v>71360</v>
      </c>
      <c r="F122" s="6">
        <v>533533</v>
      </c>
      <c r="G122" s="5">
        <v>786000</v>
      </c>
      <c r="H122" s="11">
        <f t="shared" si="2"/>
        <v>0.67879516539440199</v>
      </c>
      <c r="I122" s="11">
        <v>0.69020000000000004</v>
      </c>
      <c r="J122" s="7">
        <v>7.8542254865169525E-2</v>
      </c>
      <c r="K122" s="7">
        <v>646.4</v>
      </c>
      <c r="L122" s="10">
        <v>0.95731036648275203</v>
      </c>
      <c r="M122" s="7">
        <v>73.975814819335938</v>
      </c>
      <c r="N122" s="7">
        <f t="shared" si="3"/>
        <v>73.975814819335938</v>
      </c>
      <c r="O122" s="7">
        <v>2.5999999999999999E-2</v>
      </c>
      <c r="P122" s="7">
        <v>-1.23</v>
      </c>
      <c r="Q122" s="7">
        <v>-0.21</v>
      </c>
      <c r="S122">
        <v>202210</v>
      </c>
      <c r="T122" s="16">
        <v>143.16241455078125</v>
      </c>
      <c r="U122" s="13"/>
    </row>
    <row r="123" spans="1:21" x14ac:dyDescent="0.25">
      <c r="A123" s="4">
        <v>201306</v>
      </c>
      <c r="B123" s="4" t="s">
        <v>5</v>
      </c>
      <c r="C123" s="4" t="s">
        <v>6</v>
      </c>
      <c r="D123" s="4" t="s">
        <v>7</v>
      </c>
      <c r="E123" s="4">
        <v>71360</v>
      </c>
      <c r="F123" s="6">
        <v>902847</v>
      </c>
      <c r="G123" s="5">
        <v>1323000</v>
      </c>
      <c r="H123" s="11">
        <f t="shared" si="2"/>
        <v>0.68242403628117909</v>
      </c>
      <c r="I123" s="11">
        <v>0.71679999999999999</v>
      </c>
      <c r="J123" s="7">
        <v>0.11796491593122482</v>
      </c>
      <c r="K123" s="7">
        <v>646.4</v>
      </c>
      <c r="L123" s="10">
        <v>0.89392916267317202</v>
      </c>
      <c r="M123" s="7">
        <v>82.973007202148438</v>
      </c>
      <c r="N123" s="7">
        <f t="shared" si="3"/>
        <v>82.973007202148438</v>
      </c>
      <c r="O123" s="7">
        <v>4.6100000000000002E-2</v>
      </c>
      <c r="P123" s="7">
        <v>-1.23</v>
      </c>
      <c r="Q123" s="7">
        <v>-0.21</v>
      </c>
      <c r="S123">
        <v>202211</v>
      </c>
      <c r="T123" s="16">
        <v>116.71628570556641</v>
      </c>
      <c r="U123" s="13"/>
    </row>
    <row r="124" spans="1:21" x14ac:dyDescent="0.25">
      <c r="A124" s="4">
        <v>201305</v>
      </c>
      <c r="B124" s="4" t="s">
        <v>5</v>
      </c>
      <c r="C124" s="4" t="s">
        <v>6</v>
      </c>
      <c r="D124" s="4" t="s">
        <v>7</v>
      </c>
      <c r="E124" s="4">
        <v>71360</v>
      </c>
      <c r="F124" s="6">
        <v>288751</v>
      </c>
      <c r="G124" s="5">
        <v>419000</v>
      </c>
      <c r="H124" s="11">
        <f t="shared" si="2"/>
        <v>0.68914319809069213</v>
      </c>
      <c r="I124" s="11">
        <v>0.73770000000000002</v>
      </c>
      <c r="J124" s="7">
        <v>0.12266397476196289</v>
      </c>
      <c r="K124" s="7">
        <v>646.4</v>
      </c>
      <c r="L124" s="10">
        <v>0.84579491265275497</v>
      </c>
      <c r="M124" s="7">
        <v>83.717315673828125</v>
      </c>
      <c r="N124" s="7">
        <f t="shared" si="3"/>
        <v>83.717315673828125</v>
      </c>
      <c r="O124" s="7">
        <v>9.7000000000000003E-3</v>
      </c>
      <c r="P124" s="7">
        <v>-1.23</v>
      </c>
      <c r="Q124" s="7">
        <v>-0.21</v>
      </c>
      <c r="S124">
        <v>202212</v>
      </c>
      <c r="T124" s="16">
        <v>111.19593811035156</v>
      </c>
      <c r="U124" s="13"/>
    </row>
    <row r="125" spans="1:21" x14ac:dyDescent="0.25">
      <c r="A125" s="4">
        <v>201304</v>
      </c>
      <c r="B125" s="4" t="s">
        <v>5</v>
      </c>
      <c r="C125" s="4" t="s">
        <v>6</v>
      </c>
      <c r="D125" s="4" t="s">
        <v>7</v>
      </c>
      <c r="E125" s="4">
        <v>71360</v>
      </c>
      <c r="F125" s="6">
        <v>81223</v>
      </c>
      <c r="G125" s="5">
        <v>150000</v>
      </c>
      <c r="H125" s="11">
        <f t="shared" si="2"/>
        <v>0.54148666666666667</v>
      </c>
      <c r="I125" s="11">
        <v>0.88049999999999995</v>
      </c>
      <c r="J125" s="7">
        <v>0.14600180089473724</v>
      </c>
      <c r="K125" s="7">
        <v>646.4</v>
      </c>
      <c r="L125" s="10">
        <v>0.262746214388074</v>
      </c>
      <c r="M125" s="7">
        <v>95.107872009277344</v>
      </c>
      <c r="N125" s="7">
        <f t="shared" si="3"/>
        <v>95.107872009277344</v>
      </c>
      <c r="O125" s="7">
        <v>2.7000000000000001E-3</v>
      </c>
      <c r="P125" s="7">
        <v>-1.23</v>
      </c>
      <c r="Q125" s="7">
        <v>-0.21</v>
      </c>
      <c r="S125">
        <v>202301</v>
      </c>
      <c r="T125" s="16">
        <v>104.26704406738281</v>
      </c>
      <c r="U125" s="13"/>
    </row>
    <row r="126" spans="1:21" x14ac:dyDescent="0.25">
      <c r="A126" s="4">
        <v>202506</v>
      </c>
      <c r="B126" s="4" t="s">
        <v>5</v>
      </c>
      <c r="C126" s="4" t="s">
        <v>6</v>
      </c>
      <c r="D126" s="4" t="s">
        <v>9</v>
      </c>
      <c r="E126" s="4">
        <v>71360</v>
      </c>
      <c r="F126" s="6">
        <v>1111108</v>
      </c>
      <c r="G126" s="5">
        <v>1746450</v>
      </c>
      <c r="H126" s="11">
        <f t="shared" si="2"/>
        <v>0.63620945346273872</v>
      </c>
      <c r="I126" s="11">
        <v>0.63619999999999999</v>
      </c>
      <c r="J126" s="7">
        <v>0.46758103370666504</v>
      </c>
      <c r="K126" s="7"/>
      <c r="L126" s="10">
        <v>1</v>
      </c>
      <c r="M126" s="7">
        <v>220.12001037597656</v>
      </c>
      <c r="N126" s="7">
        <f t="shared" si="3"/>
        <v>220.12001037597656</v>
      </c>
      <c r="O126" s="7">
        <v>2.5999999999999999E-2</v>
      </c>
      <c r="P126" s="7"/>
      <c r="Q126" s="7"/>
      <c r="S126">
        <v>202302</v>
      </c>
      <c r="T126" s="16">
        <v>120.99437713623047</v>
      </c>
      <c r="U126" s="13"/>
    </row>
    <row r="127" spans="1:21" x14ac:dyDescent="0.25">
      <c r="A127" s="4">
        <v>202505</v>
      </c>
      <c r="B127" s="4" t="s">
        <v>5</v>
      </c>
      <c r="C127" s="4" t="s">
        <v>6</v>
      </c>
      <c r="D127" s="4" t="s">
        <v>9</v>
      </c>
      <c r="E127" s="4">
        <v>71360</v>
      </c>
      <c r="F127" s="6">
        <v>3429659</v>
      </c>
      <c r="G127" s="5">
        <v>4805700</v>
      </c>
      <c r="H127" s="11">
        <f t="shared" si="2"/>
        <v>0.71366481469921139</v>
      </c>
      <c r="I127" s="11">
        <v>0.7137</v>
      </c>
      <c r="J127" s="7">
        <v>0.76241862773895264</v>
      </c>
      <c r="K127" s="7"/>
      <c r="L127" s="10">
        <v>1</v>
      </c>
      <c r="M127" s="7">
        <v>165.22462463378906</v>
      </c>
      <c r="N127" s="7">
        <f t="shared" si="3"/>
        <v>165.22462463378906</v>
      </c>
      <c r="O127" s="7">
        <v>4.8500000000000001E-2</v>
      </c>
      <c r="P127" s="7"/>
      <c r="Q127" s="7"/>
      <c r="S127">
        <v>202303</v>
      </c>
      <c r="T127" s="16">
        <v>105.37997436523438</v>
      </c>
      <c r="U127" s="13"/>
    </row>
    <row r="128" spans="1:21" x14ac:dyDescent="0.25">
      <c r="A128" s="4">
        <v>202504</v>
      </c>
      <c r="B128" s="4" t="s">
        <v>5</v>
      </c>
      <c r="C128" s="4" t="s">
        <v>6</v>
      </c>
      <c r="D128" s="4" t="s">
        <v>9</v>
      </c>
      <c r="E128" s="4">
        <v>71360</v>
      </c>
      <c r="F128" s="6">
        <v>2330356</v>
      </c>
      <c r="G128" s="5">
        <v>3060450</v>
      </c>
      <c r="H128" s="11">
        <f t="shared" si="2"/>
        <v>0.76144227156137168</v>
      </c>
      <c r="I128" s="11">
        <v>0.76139999999999997</v>
      </c>
      <c r="J128" s="7">
        <v>0.4251442551612854</v>
      </c>
      <c r="K128" s="7"/>
      <c r="L128" s="10">
        <v>1</v>
      </c>
      <c r="M128" s="7">
        <v>140.52890014648438</v>
      </c>
      <c r="N128" s="7">
        <f t="shared" si="3"/>
        <v>140.52890014648438</v>
      </c>
      <c r="O128" s="7">
        <v>2.9399999999999999E-2</v>
      </c>
      <c r="P128" s="7"/>
      <c r="Q128" s="7"/>
      <c r="S128">
        <v>202304</v>
      </c>
      <c r="T128" s="16">
        <v>106.80965423583984</v>
      </c>
      <c r="U128" s="13"/>
    </row>
    <row r="129" spans="1:21" x14ac:dyDescent="0.25">
      <c r="A129" s="4">
        <v>202503</v>
      </c>
      <c r="B129" s="4" t="s">
        <v>5</v>
      </c>
      <c r="C129" s="4" t="s">
        <v>6</v>
      </c>
      <c r="D129" s="4" t="s">
        <v>9</v>
      </c>
      <c r="E129" s="4">
        <v>71360</v>
      </c>
      <c r="F129" s="6">
        <v>449917</v>
      </c>
      <c r="G129" s="5">
        <v>566140</v>
      </c>
      <c r="H129" s="11">
        <f t="shared" si="2"/>
        <v>0.79470978909810297</v>
      </c>
      <c r="I129" s="11">
        <v>0.79469999999999996</v>
      </c>
      <c r="J129" s="7">
        <v>0.24915465712547302</v>
      </c>
      <c r="K129" s="7"/>
      <c r="L129" s="10">
        <v>1</v>
      </c>
      <c r="M129" s="7">
        <v>171.87290954589844</v>
      </c>
      <c r="N129" s="7">
        <f t="shared" si="3"/>
        <v>171.87290954589844</v>
      </c>
      <c r="O129" s="7">
        <v>1.8200000000000001E-2</v>
      </c>
      <c r="P129" s="7"/>
      <c r="Q129" s="7"/>
      <c r="S129">
        <v>202305</v>
      </c>
      <c r="T129" s="16">
        <v>108.46768188476563</v>
      </c>
      <c r="U129" s="13"/>
    </row>
    <row r="130" spans="1:21" x14ac:dyDescent="0.25">
      <c r="A130" s="4">
        <v>202502</v>
      </c>
      <c r="B130" s="4" t="s">
        <v>5</v>
      </c>
      <c r="C130" s="4" t="s">
        <v>6</v>
      </c>
      <c r="D130" s="4" t="s">
        <v>9</v>
      </c>
      <c r="E130" s="4">
        <v>71360</v>
      </c>
      <c r="F130" s="6">
        <v>630155</v>
      </c>
      <c r="G130" s="5">
        <v>800170</v>
      </c>
      <c r="H130" s="11">
        <f t="shared" si="2"/>
        <v>0.78752640063986401</v>
      </c>
      <c r="I130" s="11">
        <v>0.78749999999999998</v>
      </c>
      <c r="J130" s="7">
        <v>0.20897936820983887</v>
      </c>
      <c r="K130" s="7"/>
      <c r="L130" s="10">
        <v>1</v>
      </c>
      <c r="M130" s="7">
        <v>136.20162963867188</v>
      </c>
      <c r="N130" s="7">
        <f t="shared" si="3"/>
        <v>136.20162963867188</v>
      </c>
      <c r="O130" s="7">
        <v>4.1500000000000002E-2</v>
      </c>
      <c r="P130" s="7"/>
      <c r="Q130" s="7"/>
      <c r="S130">
        <v>202306</v>
      </c>
      <c r="T130" s="16">
        <v>110.52894592285156</v>
      </c>
      <c r="U130" s="13"/>
    </row>
    <row r="131" spans="1:21" x14ac:dyDescent="0.25">
      <c r="A131" s="4">
        <v>202501</v>
      </c>
      <c r="B131" s="4" t="s">
        <v>5</v>
      </c>
      <c r="C131" s="4" t="s">
        <v>6</v>
      </c>
      <c r="D131" s="4" t="s">
        <v>9</v>
      </c>
      <c r="E131" s="4">
        <v>71360</v>
      </c>
      <c r="F131" s="6">
        <v>19169112</v>
      </c>
      <c r="G131" s="5">
        <v>24234600</v>
      </c>
      <c r="H131" s="11">
        <f t="shared" ref="H131:H194" si="4">F131/G131</f>
        <v>0.79098115916912182</v>
      </c>
      <c r="I131" s="11">
        <v>0.79200000000000004</v>
      </c>
      <c r="J131" s="7">
        <v>0.23840893805027008</v>
      </c>
      <c r="K131" s="7"/>
      <c r="L131" s="10">
        <v>0.99773456397474203</v>
      </c>
      <c r="M131" s="7">
        <v>112.32621765136719</v>
      </c>
      <c r="N131" s="7">
        <f t="shared" ref="N131:N194" si="5">VLOOKUP(A131,$S$5:$T$158,2,FALSE)</f>
        <v>112.32621765136719</v>
      </c>
      <c r="O131" s="7">
        <v>0.39560000000000001</v>
      </c>
      <c r="P131" s="7"/>
      <c r="Q131" s="7"/>
      <c r="S131">
        <v>202307</v>
      </c>
      <c r="T131" s="16">
        <v>107.44878387451172</v>
      </c>
      <c r="U131" s="13"/>
    </row>
    <row r="132" spans="1:21" x14ac:dyDescent="0.25">
      <c r="A132" s="4">
        <v>202412</v>
      </c>
      <c r="B132" s="4" t="s">
        <v>5</v>
      </c>
      <c r="C132" s="4" t="s">
        <v>6</v>
      </c>
      <c r="D132" s="4" t="s">
        <v>9</v>
      </c>
      <c r="E132" s="4">
        <v>71360</v>
      </c>
      <c r="F132" s="6">
        <v>40359742</v>
      </c>
      <c r="G132" s="5">
        <v>50145200</v>
      </c>
      <c r="H132" s="11">
        <f t="shared" si="4"/>
        <v>0.80485753372207114</v>
      </c>
      <c r="I132" s="11">
        <v>0.80520000000000003</v>
      </c>
      <c r="J132" s="7">
        <v>0.19472841918468475</v>
      </c>
      <c r="K132" s="7">
        <v>562.29999999999995</v>
      </c>
      <c r="L132" s="10">
        <v>0.99654491028964298</v>
      </c>
      <c r="M132" s="7">
        <v>141.9027099609375</v>
      </c>
      <c r="N132" s="7">
        <f t="shared" si="5"/>
        <v>141.9027099609375</v>
      </c>
      <c r="O132" s="7">
        <v>0.4042</v>
      </c>
      <c r="P132" s="7"/>
      <c r="Q132" s="7"/>
      <c r="S132">
        <v>202308</v>
      </c>
      <c r="T132" s="16">
        <v>101.14118194580078</v>
      </c>
      <c r="U132" s="13"/>
    </row>
    <row r="133" spans="1:21" x14ac:dyDescent="0.25">
      <c r="A133" s="4">
        <v>202411</v>
      </c>
      <c r="B133" s="4" t="s">
        <v>5</v>
      </c>
      <c r="C133" s="4" t="s">
        <v>6</v>
      </c>
      <c r="D133" s="4" t="s">
        <v>9</v>
      </c>
      <c r="E133" s="4">
        <v>71360</v>
      </c>
      <c r="F133" s="6">
        <v>60597963</v>
      </c>
      <c r="G133" s="5">
        <v>72278600</v>
      </c>
      <c r="H133" s="11">
        <f t="shared" si="4"/>
        <v>0.83839425500770626</v>
      </c>
      <c r="I133" s="11">
        <v>0.83840000000000003</v>
      </c>
      <c r="J133" s="7">
        <v>0.18260814249515533</v>
      </c>
      <c r="K133" s="7">
        <v>562.29999999999995</v>
      </c>
      <c r="L133" s="10">
        <v>1</v>
      </c>
      <c r="M133" s="7">
        <v>128.48176574707031</v>
      </c>
      <c r="N133" s="7">
        <f t="shared" si="5"/>
        <v>128.48176574707031</v>
      </c>
      <c r="O133" s="7">
        <v>0.36070000000000002</v>
      </c>
      <c r="P133" s="7"/>
      <c r="Q133" s="7"/>
      <c r="S133">
        <v>202309</v>
      </c>
      <c r="T133" s="16">
        <v>98.634811401367188</v>
      </c>
      <c r="U133" s="13"/>
    </row>
    <row r="134" spans="1:21" x14ac:dyDescent="0.25">
      <c r="A134" s="4">
        <v>202410</v>
      </c>
      <c r="B134" s="4" t="s">
        <v>5</v>
      </c>
      <c r="C134" s="4" t="s">
        <v>6</v>
      </c>
      <c r="D134" s="4" t="s">
        <v>9</v>
      </c>
      <c r="E134" s="4">
        <v>71360</v>
      </c>
      <c r="F134" s="6">
        <v>102702315</v>
      </c>
      <c r="G134" s="5">
        <v>114745000</v>
      </c>
      <c r="H134" s="11">
        <f t="shared" si="4"/>
        <v>0.89504828097084843</v>
      </c>
      <c r="I134" s="11">
        <v>0.8952</v>
      </c>
      <c r="J134" s="7">
        <v>0.26585879921913147</v>
      </c>
      <c r="K134" s="7">
        <v>562.29999999999995</v>
      </c>
      <c r="L134" s="10">
        <v>0.99966953247064605</v>
      </c>
      <c r="M134" s="7">
        <v>130.689208984375</v>
      </c>
      <c r="N134" s="7">
        <f t="shared" si="5"/>
        <v>130.689208984375</v>
      </c>
      <c r="O134" s="7">
        <v>0.4113</v>
      </c>
      <c r="P134" s="7"/>
      <c r="Q134" s="7"/>
      <c r="S134">
        <v>202310</v>
      </c>
      <c r="T134" s="16">
        <v>197.88700866699219</v>
      </c>
      <c r="U134" s="13"/>
    </row>
    <row r="135" spans="1:21" x14ac:dyDescent="0.25">
      <c r="A135" s="4">
        <v>202409</v>
      </c>
      <c r="B135" s="4" t="s">
        <v>5</v>
      </c>
      <c r="C135" s="4" t="s">
        <v>6</v>
      </c>
      <c r="D135" s="4" t="s">
        <v>9</v>
      </c>
      <c r="E135" s="4">
        <v>71360</v>
      </c>
      <c r="F135" s="6">
        <v>34860661</v>
      </c>
      <c r="G135" s="5">
        <v>34232600</v>
      </c>
      <c r="H135" s="11">
        <f t="shared" si="4"/>
        <v>1.018346868189971</v>
      </c>
      <c r="I135" s="11">
        <v>1.0183</v>
      </c>
      <c r="J135" s="7">
        <v>0.16914969682693481</v>
      </c>
      <c r="K135" s="7">
        <v>562.29999999999995</v>
      </c>
      <c r="L135" s="10">
        <v>1</v>
      </c>
      <c r="M135" s="7">
        <v>130.14187622070313</v>
      </c>
      <c r="N135" s="7">
        <f t="shared" si="5"/>
        <v>130.14187622070313</v>
      </c>
      <c r="O135" s="7">
        <v>0.1648</v>
      </c>
      <c r="P135" s="7"/>
      <c r="Q135" s="7"/>
      <c r="S135">
        <v>202311</v>
      </c>
      <c r="T135" s="16">
        <v>156.69613647460938</v>
      </c>
      <c r="U135" s="13"/>
    </row>
    <row r="136" spans="1:21" x14ac:dyDescent="0.25">
      <c r="A136" s="4">
        <v>202408</v>
      </c>
      <c r="B136" s="4" t="s">
        <v>5</v>
      </c>
      <c r="C136" s="4" t="s">
        <v>6</v>
      </c>
      <c r="D136" s="4" t="s">
        <v>9</v>
      </c>
      <c r="E136" s="4">
        <v>71360</v>
      </c>
      <c r="F136" s="6">
        <v>21427061</v>
      </c>
      <c r="G136" s="5">
        <v>18306900</v>
      </c>
      <c r="H136" s="11">
        <f t="shared" si="4"/>
        <v>1.1704363382112755</v>
      </c>
      <c r="I136" s="11">
        <v>1.1704000000000001</v>
      </c>
      <c r="J136" s="7">
        <v>0.2278769463300705</v>
      </c>
      <c r="K136" s="7">
        <v>562.29999999999995</v>
      </c>
      <c r="L136" s="10">
        <v>1</v>
      </c>
      <c r="M136" s="7">
        <v>140.76402282714844</v>
      </c>
      <c r="N136" s="7">
        <f t="shared" si="5"/>
        <v>140.76402282714844</v>
      </c>
      <c r="O136" s="7">
        <v>0.18990000000000001</v>
      </c>
      <c r="P136" s="7"/>
      <c r="Q136" s="7"/>
      <c r="S136">
        <v>202312</v>
      </c>
      <c r="T136" s="16">
        <v>142.27946472167969</v>
      </c>
      <c r="U136" s="13"/>
    </row>
    <row r="137" spans="1:21" x14ac:dyDescent="0.25">
      <c r="A137" s="4">
        <v>202407</v>
      </c>
      <c r="B137" s="4" t="s">
        <v>5</v>
      </c>
      <c r="C137" s="4" t="s">
        <v>6</v>
      </c>
      <c r="D137" s="4" t="s">
        <v>9</v>
      </c>
      <c r="E137" s="4">
        <v>71360</v>
      </c>
      <c r="F137" s="6">
        <v>2248969</v>
      </c>
      <c r="G137" s="5">
        <v>1763680</v>
      </c>
      <c r="H137" s="11">
        <f t="shared" si="4"/>
        <v>1.2751570579696998</v>
      </c>
      <c r="I137" s="11">
        <v>1.2884</v>
      </c>
      <c r="J137" s="7">
        <v>0.16011823713779449</v>
      </c>
      <c r="K137" s="7">
        <v>562.29999999999995</v>
      </c>
      <c r="L137" s="10">
        <v>0.96737130751777001</v>
      </c>
      <c r="M137" s="7">
        <v>92.394874572753906</v>
      </c>
      <c r="N137" s="7">
        <f t="shared" si="5"/>
        <v>92.394874572753906</v>
      </c>
      <c r="O137" s="7">
        <v>2.41E-2</v>
      </c>
      <c r="P137" s="7"/>
      <c r="Q137" s="7"/>
      <c r="S137">
        <v>202401</v>
      </c>
      <c r="T137" s="16">
        <v>160.16484069824219</v>
      </c>
      <c r="U137" s="13"/>
    </row>
    <row r="138" spans="1:21" x14ac:dyDescent="0.25">
      <c r="A138" s="4">
        <v>202406</v>
      </c>
      <c r="B138" s="4" t="s">
        <v>5</v>
      </c>
      <c r="C138" s="4" t="s">
        <v>6</v>
      </c>
      <c r="D138" s="4" t="s">
        <v>9</v>
      </c>
      <c r="E138" s="4">
        <v>71360</v>
      </c>
      <c r="F138" s="6">
        <v>942760</v>
      </c>
      <c r="G138" s="5">
        <v>724750</v>
      </c>
      <c r="H138" s="11">
        <f t="shared" si="4"/>
        <v>1.3008071748878924</v>
      </c>
      <c r="I138" s="11">
        <v>1.3063</v>
      </c>
      <c r="J138" s="7">
        <v>0.19021050631999969</v>
      </c>
      <c r="K138" s="7">
        <v>562.29999999999995</v>
      </c>
      <c r="L138" s="10">
        <v>0.98265377808259702</v>
      </c>
      <c r="M138" s="7">
        <v>112.88140869140625</v>
      </c>
      <c r="N138" s="7">
        <f t="shared" si="5"/>
        <v>112.88140869140625</v>
      </c>
      <c r="O138" s="7">
        <v>8.3000000000000001E-3</v>
      </c>
      <c r="P138" s="7"/>
      <c r="Q138" s="7"/>
      <c r="S138">
        <v>202402</v>
      </c>
      <c r="T138" s="16">
        <v>146.59817504882813</v>
      </c>
      <c r="U138" s="13"/>
    </row>
    <row r="139" spans="1:21" x14ac:dyDescent="0.25">
      <c r="A139" s="4">
        <v>202405</v>
      </c>
      <c r="B139" s="4" t="s">
        <v>5</v>
      </c>
      <c r="C139" s="4" t="s">
        <v>6</v>
      </c>
      <c r="D139" s="4" t="s">
        <v>9</v>
      </c>
      <c r="E139" s="4">
        <v>71360</v>
      </c>
      <c r="F139" s="6">
        <v>508034</v>
      </c>
      <c r="G139" s="5">
        <v>425910</v>
      </c>
      <c r="H139" s="11">
        <f t="shared" si="4"/>
        <v>1.1928200793594892</v>
      </c>
      <c r="I139" s="11">
        <v>1.2073</v>
      </c>
      <c r="J139" s="7">
        <v>0.13457304239273071</v>
      </c>
      <c r="K139" s="7">
        <v>562.29999999999995</v>
      </c>
      <c r="L139" s="10">
        <v>0.95436272373423903</v>
      </c>
      <c r="M139" s="7">
        <v>130.52186584472656</v>
      </c>
      <c r="N139" s="7">
        <f t="shared" si="5"/>
        <v>130.52186584472656</v>
      </c>
      <c r="O139" s="7">
        <v>6.6E-3</v>
      </c>
      <c r="P139" s="7"/>
      <c r="Q139" s="7"/>
      <c r="S139">
        <v>202403</v>
      </c>
      <c r="T139" s="16">
        <v>133.21316528320313</v>
      </c>
      <c r="U139" s="13"/>
    </row>
    <row r="140" spans="1:21" x14ac:dyDescent="0.25">
      <c r="A140" s="4">
        <v>202404</v>
      </c>
      <c r="B140" s="4" t="s">
        <v>5</v>
      </c>
      <c r="C140" s="4" t="s">
        <v>6</v>
      </c>
      <c r="D140" s="4" t="s">
        <v>9</v>
      </c>
      <c r="E140" s="4">
        <v>71360</v>
      </c>
      <c r="F140" s="6">
        <v>966905</v>
      </c>
      <c r="G140" s="5">
        <v>807500</v>
      </c>
      <c r="H140" s="11">
        <f t="shared" si="4"/>
        <v>1.197405572755418</v>
      </c>
      <c r="I140" s="11">
        <v>1.1993</v>
      </c>
      <c r="J140" s="7">
        <v>0.24681982398033142</v>
      </c>
      <c r="K140" s="7">
        <v>562.29999999999995</v>
      </c>
      <c r="L140" s="10">
        <v>0.96839827013254398</v>
      </c>
      <c r="M140" s="7">
        <v>163.73634338378906</v>
      </c>
      <c r="N140" s="7">
        <f t="shared" si="5"/>
        <v>163.73634338378906</v>
      </c>
      <c r="O140" s="7">
        <v>1.32E-2</v>
      </c>
      <c r="P140" s="7"/>
      <c r="Q140" s="7"/>
      <c r="S140">
        <v>202404</v>
      </c>
      <c r="T140" s="16">
        <v>163.73634338378906</v>
      </c>
      <c r="U140" s="13"/>
    </row>
    <row r="141" spans="1:21" x14ac:dyDescent="0.25">
      <c r="A141" s="4">
        <v>202403</v>
      </c>
      <c r="B141" s="4" t="s">
        <v>5</v>
      </c>
      <c r="C141" s="4" t="s">
        <v>6</v>
      </c>
      <c r="D141" s="4" t="s">
        <v>9</v>
      </c>
      <c r="E141" s="4">
        <v>71360</v>
      </c>
      <c r="F141" s="6">
        <v>1241957</v>
      </c>
      <c r="G141" s="5">
        <v>1076630</v>
      </c>
      <c r="H141" s="11">
        <f t="shared" si="4"/>
        <v>1.1535597187520319</v>
      </c>
      <c r="I141" s="11">
        <v>1.1777</v>
      </c>
      <c r="J141" s="7">
        <v>0.23973444104194641</v>
      </c>
      <c r="K141" s="7">
        <v>562.29999999999995</v>
      </c>
      <c r="L141" s="10">
        <v>0.93490093997682899</v>
      </c>
      <c r="M141" s="7">
        <v>133.21316528320313</v>
      </c>
      <c r="N141" s="7">
        <f t="shared" si="5"/>
        <v>133.21316528320313</v>
      </c>
      <c r="O141" s="7">
        <v>2.3E-2</v>
      </c>
      <c r="P141" s="7"/>
      <c r="Q141" s="7"/>
      <c r="S141">
        <v>202405</v>
      </c>
      <c r="T141" s="16">
        <v>130.52186584472656</v>
      </c>
      <c r="U141" s="13"/>
    </row>
    <row r="142" spans="1:21" x14ac:dyDescent="0.25">
      <c r="A142" s="4">
        <v>202402</v>
      </c>
      <c r="B142" s="4" t="s">
        <v>5</v>
      </c>
      <c r="C142" s="4" t="s">
        <v>6</v>
      </c>
      <c r="D142" s="4" t="s">
        <v>9</v>
      </c>
      <c r="E142" s="4">
        <v>71360</v>
      </c>
      <c r="F142" s="6">
        <v>1936261</v>
      </c>
      <c r="G142" s="5">
        <v>1803460</v>
      </c>
      <c r="H142" s="11">
        <f t="shared" si="4"/>
        <v>1.0736367870648642</v>
      </c>
      <c r="I142" s="11">
        <v>1.0805</v>
      </c>
      <c r="J142" s="7">
        <v>0.21592618525028229</v>
      </c>
      <c r="K142" s="7">
        <v>562.29999999999995</v>
      </c>
      <c r="L142" s="10">
        <v>0.98057398385512096</v>
      </c>
      <c r="M142" s="7">
        <v>146.59817504882813</v>
      </c>
      <c r="N142" s="7">
        <f t="shared" si="5"/>
        <v>146.59817504882813</v>
      </c>
      <c r="O142" s="7">
        <v>3.7199999999999997E-2</v>
      </c>
      <c r="P142" s="7"/>
      <c r="Q142" s="7"/>
      <c r="S142">
        <v>202406</v>
      </c>
      <c r="T142" s="16">
        <v>112.88140869140625</v>
      </c>
      <c r="U142" s="13"/>
    </row>
    <row r="143" spans="1:21" x14ac:dyDescent="0.25">
      <c r="A143" s="4">
        <v>202401</v>
      </c>
      <c r="B143" s="4" t="s">
        <v>5</v>
      </c>
      <c r="C143" s="4" t="s">
        <v>6</v>
      </c>
      <c r="D143" s="4" t="s">
        <v>9</v>
      </c>
      <c r="E143" s="4">
        <v>71360</v>
      </c>
      <c r="F143" s="6">
        <v>5218992</v>
      </c>
      <c r="G143" s="5">
        <v>4961590</v>
      </c>
      <c r="H143" s="11">
        <f t="shared" si="4"/>
        <v>1.0518789339707635</v>
      </c>
      <c r="I143" s="11">
        <v>1.0483</v>
      </c>
      <c r="J143" s="7">
        <v>0.27558562159538269</v>
      </c>
      <c r="K143" s="7">
        <v>562.29999999999995</v>
      </c>
      <c r="L143" s="10">
        <v>0.99183459845175503</v>
      </c>
      <c r="M143" s="7">
        <v>160.16484069824219</v>
      </c>
      <c r="N143" s="7">
        <f t="shared" si="5"/>
        <v>160.16484069824219</v>
      </c>
      <c r="O143" s="7">
        <v>0.1032</v>
      </c>
      <c r="P143" s="7"/>
      <c r="Q143" s="7"/>
      <c r="S143">
        <v>202407</v>
      </c>
      <c r="T143" s="16">
        <v>92.394874572753906</v>
      </c>
      <c r="U143" s="13"/>
    </row>
    <row r="144" spans="1:21" x14ac:dyDescent="0.25">
      <c r="A144" s="4">
        <v>202312</v>
      </c>
      <c r="B144" s="4" t="s">
        <v>5</v>
      </c>
      <c r="C144" s="4" t="s">
        <v>6</v>
      </c>
      <c r="D144" s="4" t="s">
        <v>9</v>
      </c>
      <c r="E144" s="4">
        <v>71360</v>
      </c>
      <c r="F144" s="6">
        <v>26136776</v>
      </c>
      <c r="G144" s="5">
        <v>25174800</v>
      </c>
      <c r="H144" s="11">
        <f t="shared" si="4"/>
        <v>1.038211862656307</v>
      </c>
      <c r="I144" s="11">
        <v>1.0397000000000001</v>
      </c>
      <c r="J144" s="7">
        <v>0.22528322041034698</v>
      </c>
      <c r="K144" s="7">
        <v>578.5</v>
      </c>
      <c r="L144" s="10">
        <v>0.99159190239164696</v>
      </c>
      <c r="M144" s="7">
        <v>142.27946472167969</v>
      </c>
      <c r="N144" s="7">
        <f t="shared" si="5"/>
        <v>142.27946472167969</v>
      </c>
      <c r="O144" s="7">
        <v>0.30780000000000002</v>
      </c>
      <c r="P144" s="7">
        <v>-0.64</v>
      </c>
      <c r="Q144" s="7">
        <v>-0.05</v>
      </c>
      <c r="S144">
        <v>202408</v>
      </c>
      <c r="T144" s="16">
        <v>140.76402282714844</v>
      </c>
      <c r="U144" s="13"/>
    </row>
    <row r="145" spans="1:21" x14ac:dyDescent="0.25">
      <c r="A145" s="4">
        <v>202311</v>
      </c>
      <c r="B145" s="4" t="s">
        <v>5</v>
      </c>
      <c r="C145" s="4" t="s">
        <v>6</v>
      </c>
      <c r="D145" s="4" t="s">
        <v>9</v>
      </c>
      <c r="E145" s="4">
        <v>71360</v>
      </c>
      <c r="F145" s="6">
        <v>74071055</v>
      </c>
      <c r="G145" s="5">
        <v>71071800</v>
      </c>
      <c r="H145" s="11">
        <f t="shared" si="4"/>
        <v>1.0422003523197667</v>
      </c>
      <c r="I145" s="11">
        <v>1.0422</v>
      </c>
      <c r="J145" s="7">
        <v>0.25032857060432434</v>
      </c>
      <c r="K145" s="7">
        <v>578.5</v>
      </c>
      <c r="L145" s="10">
        <v>0.99994215348859605</v>
      </c>
      <c r="M145" s="7">
        <v>156.69613647460938</v>
      </c>
      <c r="N145" s="7">
        <f t="shared" si="5"/>
        <v>156.69613647460938</v>
      </c>
      <c r="O145" s="7">
        <v>0.67400000000000004</v>
      </c>
      <c r="P145" s="7">
        <v>-0.64</v>
      </c>
      <c r="Q145" s="7">
        <v>-0.05</v>
      </c>
      <c r="S145">
        <v>202409</v>
      </c>
      <c r="T145" s="16">
        <v>130.14187622070313</v>
      </c>
      <c r="U145" s="13"/>
    </row>
    <row r="146" spans="1:21" x14ac:dyDescent="0.25">
      <c r="A146" s="4">
        <v>202310</v>
      </c>
      <c r="B146" s="4" t="s">
        <v>5</v>
      </c>
      <c r="C146" s="4" t="s">
        <v>6</v>
      </c>
      <c r="D146" s="4" t="s">
        <v>9</v>
      </c>
      <c r="E146" s="4">
        <v>71360</v>
      </c>
      <c r="F146" s="6">
        <v>43385030</v>
      </c>
      <c r="G146" s="5">
        <v>41241000</v>
      </c>
      <c r="H146" s="11">
        <f t="shared" si="4"/>
        <v>1.0519878276472443</v>
      </c>
      <c r="I146" s="11">
        <v>1.0525</v>
      </c>
      <c r="J146" s="7">
        <v>0.22093509137630463</v>
      </c>
      <c r="K146" s="7">
        <v>578.5</v>
      </c>
      <c r="L146" s="10">
        <v>0.99859671766768299</v>
      </c>
      <c r="M146" s="7">
        <v>197.88700866699219</v>
      </c>
      <c r="N146" s="7">
        <f t="shared" si="5"/>
        <v>197.88700866699219</v>
      </c>
      <c r="O146" s="7">
        <v>0.25679999999999997</v>
      </c>
      <c r="P146" s="7">
        <v>-0.64</v>
      </c>
      <c r="Q146" s="7">
        <v>-0.05</v>
      </c>
      <c r="S146">
        <v>202410</v>
      </c>
      <c r="T146" s="16">
        <v>130.689208984375</v>
      </c>
      <c r="U146" s="13"/>
    </row>
    <row r="147" spans="1:21" x14ac:dyDescent="0.25">
      <c r="A147" s="4">
        <v>202309</v>
      </c>
      <c r="B147" s="4" t="s">
        <v>5</v>
      </c>
      <c r="C147" s="4" t="s">
        <v>6</v>
      </c>
      <c r="D147" s="4" t="s">
        <v>9</v>
      </c>
      <c r="E147" s="4">
        <v>71360</v>
      </c>
      <c r="F147" s="6">
        <v>22899916</v>
      </c>
      <c r="G147" s="5">
        <v>22724700</v>
      </c>
      <c r="H147" s="11">
        <f t="shared" si="4"/>
        <v>1.0077103768146554</v>
      </c>
      <c r="I147" s="11">
        <v>1.0099</v>
      </c>
      <c r="J147" s="7">
        <v>0.45979791879653931</v>
      </c>
      <c r="K147" s="7">
        <v>578.5</v>
      </c>
      <c r="L147" s="10">
        <v>0.99352484079356795</v>
      </c>
      <c r="M147" s="7">
        <v>98.634811401367188</v>
      </c>
      <c r="N147" s="7">
        <f t="shared" si="5"/>
        <v>98.634811401367188</v>
      </c>
      <c r="O147" s="7">
        <v>0.33</v>
      </c>
      <c r="P147" s="7">
        <v>-0.64</v>
      </c>
      <c r="Q147" s="7">
        <v>-0.05</v>
      </c>
      <c r="S147">
        <v>202411</v>
      </c>
      <c r="T147" s="16">
        <v>128.48176574707031</v>
      </c>
      <c r="U147" s="13"/>
    </row>
    <row r="148" spans="1:21" x14ac:dyDescent="0.25">
      <c r="A148" s="4">
        <v>202308</v>
      </c>
      <c r="B148" s="4" t="s">
        <v>5</v>
      </c>
      <c r="C148" s="4" t="s">
        <v>6</v>
      </c>
      <c r="D148" s="4" t="s">
        <v>9</v>
      </c>
      <c r="E148" s="4">
        <v>71360</v>
      </c>
      <c r="F148" s="6">
        <v>6738275</v>
      </c>
      <c r="G148" s="5">
        <v>6734490</v>
      </c>
      <c r="H148" s="11">
        <f t="shared" si="4"/>
        <v>1.0005620321657616</v>
      </c>
      <c r="I148" s="11">
        <v>1.0024</v>
      </c>
      <c r="J148" s="7">
        <v>0.31549569964408875</v>
      </c>
      <c r="K148" s="7">
        <v>578.5</v>
      </c>
      <c r="L148" s="10">
        <v>0.99461104590198002</v>
      </c>
      <c r="M148" s="7">
        <v>101.14118194580078</v>
      </c>
      <c r="N148" s="7">
        <f t="shared" si="5"/>
        <v>101.14118194580078</v>
      </c>
      <c r="O148" s="7">
        <v>0.15060000000000001</v>
      </c>
      <c r="P148" s="7">
        <v>-0.64</v>
      </c>
      <c r="Q148" s="7">
        <v>-0.05</v>
      </c>
      <c r="S148">
        <v>202412</v>
      </c>
      <c r="T148" s="16">
        <v>141.9027099609375</v>
      </c>
      <c r="U148" s="13"/>
    </row>
    <row r="149" spans="1:21" x14ac:dyDescent="0.25">
      <c r="A149" s="4">
        <v>202307</v>
      </c>
      <c r="B149" s="4" t="s">
        <v>5</v>
      </c>
      <c r="C149" s="4" t="s">
        <v>6</v>
      </c>
      <c r="D149" s="4" t="s">
        <v>9</v>
      </c>
      <c r="E149" s="4">
        <v>71360</v>
      </c>
      <c r="F149" s="6">
        <v>1883390</v>
      </c>
      <c r="G149" s="5">
        <v>1868450</v>
      </c>
      <c r="H149" s="11">
        <f t="shared" si="4"/>
        <v>1.0079959324573844</v>
      </c>
      <c r="I149" s="11">
        <v>1.0137</v>
      </c>
      <c r="J149" s="7">
        <v>0.21112766861915588</v>
      </c>
      <c r="K149" s="7">
        <v>578.5</v>
      </c>
      <c r="L149" s="10">
        <v>0.97497428474846104</v>
      </c>
      <c r="M149" s="7">
        <v>107.44878387451172</v>
      </c>
      <c r="N149" s="7">
        <f t="shared" si="5"/>
        <v>107.44878387451172</v>
      </c>
      <c r="O149" s="7">
        <v>8.1000000000000003E-2</v>
      </c>
      <c r="P149" s="7">
        <v>-0.64</v>
      </c>
      <c r="Q149" s="7">
        <v>-0.05</v>
      </c>
      <c r="S149">
        <v>202501</v>
      </c>
      <c r="T149" s="16">
        <v>112.32621765136719</v>
      </c>
      <c r="U149" s="13"/>
    </row>
    <row r="150" spans="1:21" x14ac:dyDescent="0.25">
      <c r="A150" s="4">
        <v>202306</v>
      </c>
      <c r="B150" s="4" t="s">
        <v>5</v>
      </c>
      <c r="C150" s="4" t="s">
        <v>6</v>
      </c>
      <c r="D150" s="4" t="s">
        <v>9</v>
      </c>
      <c r="E150" s="4">
        <v>71360</v>
      </c>
      <c r="F150" s="6">
        <v>1021944</v>
      </c>
      <c r="G150" s="5">
        <v>1070120</v>
      </c>
      <c r="H150" s="11">
        <f t="shared" si="4"/>
        <v>0.95498074982244985</v>
      </c>
      <c r="I150" s="11">
        <v>0.95220000000000005</v>
      </c>
      <c r="J150" s="7">
        <v>0.26301303505897522</v>
      </c>
      <c r="K150" s="7">
        <v>578.5</v>
      </c>
      <c r="L150" s="10">
        <v>0.85757874296570602</v>
      </c>
      <c r="M150" s="7">
        <v>110.52894592285156</v>
      </c>
      <c r="N150" s="7">
        <f t="shared" si="5"/>
        <v>110.52894592285156</v>
      </c>
      <c r="O150" s="7">
        <v>3.2500000000000001E-2</v>
      </c>
      <c r="P150" s="7">
        <v>-0.64</v>
      </c>
      <c r="Q150" s="7">
        <v>-0.05</v>
      </c>
      <c r="S150">
        <v>202502</v>
      </c>
      <c r="T150" s="16">
        <v>136.20162963867188</v>
      </c>
      <c r="U150" s="13"/>
    </row>
    <row r="151" spans="1:21" x14ac:dyDescent="0.25">
      <c r="A151" s="4">
        <v>202305</v>
      </c>
      <c r="B151" s="4" t="s">
        <v>5</v>
      </c>
      <c r="C151" s="4" t="s">
        <v>6</v>
      </c>
      <c r="D151" s="4" t="s">
        <v>9</v>
      </c>
      <c r="E151" s="4">
        <v>71360</v>
      </c>
      <c r="F151" s="6">
        <v>458083</v>
      </c>
      <c r="G151" s="5">
        <v>493720</v>
      </c>
      <c r="H151" s="11">
        <f t="shared" si="4"/>
        <v>0.92781941181236327</v>
      </c>
      <c r="I151" s="11">
        <v>0.55640000000000001</v>
      </c>
      <c r="J151" s="7">
        <v>0.31503695249557495</v>
      </c>
      <c r="K151" s="7">
        <v>578.5</v>
      </c>
      <c r="L151" s="10">
        <v>0.45351609294405298</v>
      </c>
      <c r="M151" s="7">
        <v>108.46768188476563</v>
      </c>
      <c r="N151" s="7">
        <f t="shared" si="5"/>
        <v>108.46768188476563</v>
      </c>
      <c r="O151" s="7">
        <v>1.2699999999999999E-2</v>
      </c>
      <c r="P151" s="7">
        <v>-0.64</v>
      </c>
      <c r="Q151" s="7">
        <v>-0.05</v>
      </c>
      <c r="S151">
        <v>202503</v>
      </c>
      <c r="T151" s="16">
        <v>171.87290954589844</v>
      </c>
      <c r="U151" s="13"/>
    </row>
    <row r="152" spans="1:21" x14ac:dyDescent="0.25">
      <c r="A152" s="4">
        <v>202304</v>
      </c>
      <c r="B152" s="4" t="s">
        <v>5</v>
      </c>
      <c r="C152" s="4" t="s">
        <v>6</v>
      </c>
      <c r="D152" s="4" t="s">
        <v>9</v>
      </c>
      <c r="E152" s="4">
        <v>71360</v>
      </c>
      <c r="F152" s="6">
        <v>954437</v>
      </c>
      <c r="G152" s="5">
        <v>1202780</v>
      </c>
      <c r="H152" s="11">
        <f t="shared" si="4"/>
        <v>0.79352583182294356</v>
      </c>
      <c r="I152" s="11">
        <v>0.67069999999999996</v>
      </c>
      <c r="J152" s="7">
        <v>0.24643319845199585</v>
      </c>
      <c r="K152" s="7">
        <v>578.5</v>
      </c>
      <c r="L152" s="10">
        <v>0.77860470048864805</v>
      </c>
      <c r="M152" s="7">
        <v>106.80965423583984</v>
      </c>
      <c r="N152" s="7">
        <f t="shared" si="5"/>
        <v>106.80965423583984</v>
      </c>
      <c r="O152" s="7">
        <v>1.37E-2</v>
      </c>
      <c r="P152" s="7">
        <v>-0.64</v>
      </c>
      <c r="Q152" s="7">
        <v>-0.05</v>
      </c>
      <c r="S152">
        <v>202504</v>
      </c>
      <c r="T152" s="16">
        <v>140.52890014648438</v>
      </c>
      <c r="U152" s="13"/>
    </row>
    <row r="153" spans="1:21" x14ac:dyDescent="0.25">
      <c r="A153" s="4">
        <v>202303</v>
      </c>
      <c r="B153" s="4" t="s">
        <v>5</v>
      </c>
      <c r="C153" s="4" t="s">
        <v>6</v>
      </c>
      <c r="D153" s="4" t="s">
        <v>9</v>
      </c>
      <c r="E153" s="4">
        <v>71360</v>
      </c>
      <c r="F153" s="6">
        <v>1503176</v>
      </c>
      <c r="G153" s="5">
        <v>2051090</v>
      </c>
      <c r="H153" s="11">
        <f t="shared" si="4"/>
        <v>0.73286691466488552</v>
      </c>
      <c r="I153" s="11">
        <v>0.68379999999999996</v>
      </c>
      <c r="J153" s="7">
        <v>0.30663993954658508</v>
      </c>
      <c r="K153" s="7">
        <v>578.5</v>
      </c>
      <c r="L153" s="10">
        <v>0.80613988938460002</v>
      </c>
      <c r="M153" s="7">
        <v>105.37997436523438</v>
      </c>
      <c r="N153" s="7">
        <f t="shared" si="5"/>
        <v>105.37997436523438</v>
      </c>
      <c r="O153" s="7">
        <v>2.5700000000000001E-2</v>
      </c>
      <c r="P153" s="7">
        <v>-0.64</v>
      </c>
      <c r="Q153" s="7">
        <v>-0.05</v>
      </c>
      <c r="S153">
        <v>202505</v>
      </c>
      <c r="T153" s="16">
        <v>165.22462463378906</v>
      </c>
      <c r="U153" s="13"/>
    </row>
    <row r="154" spans="1:21" x14ac:dyDescent="0.25">
      <c r="A154" s="4">
        <v>202302</v>
      </c>
      <c r="B154" s="4" t="s">
        <v>5</v>
      </c>
      <c r="C154" s="4" t="s">
        <v>6</v>
      </c>
      <c r="D154" s="4" t="s">
        <v>9</v>
      </c>
      <c r="E154" s="4">
        <v>71360</v>
      </c>
      <c r="F154" s="6">
        <v>478744</v>
      </c>
      <c r="G154" s="5">
        <v>715800</v>
      </c>
      <c r="H154" s="11">
        <f t="shared" si="4"/>
        <v>0.66882369376920925</v>
      </c>
      <c r="I154" s="11">
        <v>0.61280000000000001</v>
      </c>
      <c r="J154" s="7">
        <v>0.29352903366088867</v>
      </c>
      <c r="K154" s="7">
        <v>578.5</v>
      </c>
      <c r="L154" s="10">
        <v>0.582750372782325</v>
      </c>
      <c r="M154" s="7">
        <v>120.99437713623047</v>
      </c>
      <c r="N154" s="7">
        <f t="shared" si="5"/>
        <v>120.99437713623047</v>
      </c>
      <c r="O154" s="7">
        <v>7.3000000000000001E-3</v>
      </c>
      <c r="P154" s="7">
        <v>-0.64</v>
      </c>
      <c r="Q154" s="7">
        <v>-0.05</v>
      </c>
      <c r="S154">
        <v>202506</v>
      </c>
      <c r="T154" s="16">
        <v>220.12001037597656</v>
      </c>
      <c r="U154" s="13"/>
    </row>
    <row r="155" spans="1:21" x14ac:dyDescent="0.25">
      <c r="A155" s="4">
        <v>202301</v>
      </c>
      <c r="B155" s="4" t="s">
        <v>5</v>
      </c>
      <c r="C155" s="4" t="s">
        <v>6</v>
      </c>
      <c r="D155" s="4" t="s">
        <v>9</v>
      </c>
      <c r="E155" s="4">
        <v>71360</v>
      </c>
      <c r="F155" s="6">
        <v>680899</v>
      </c>
      <c r="G155" s="5">
        <v>1001380</v>
      </c>
      <c r="H155" s="11">
        <f t="shared" si="4"/>
        <v>0.67996065429707009</v>
      </c>
      <c r="I155" s="11">
        <v>0.5806</v>
      </c>
      <c r="J155" s="7">
        <v>0.19585543870925903</v>
      </c>
      <c r="K155" s="7">
        <v>578.5</v>
      </c>
      <c r="L155" s="10">
        <v>0.59823752937817098</v>
      </c>
      <c r="M155" s="7">
        <v>104.26704406738281</v>
      </c>
      <c r="N155" s="7">
        <f t="shared" si="5"/>
        <v>104.26704406738281</v>
      </c>
      <c r="O155" s="7">
        <v>9.7000000000000003E-3</v>
      </c>
      <c r="P155" s="7">
        <v>-0.64</v>
      </c>
      <c r="Q155" s="7">
        <v>-0.05</v>
      </c>
      <c r="S155">
        <v>202507</v>
      </c>
      <c r="T155" s="16">
        <v>134.55960083007813</v>
      </c>
      <c r="U155" s="13"/>
    </row>
    <row r="156" spans="1:21" x14ac:dyDescent="0.25">
      <c r="A156" s="4">
        <v>202212</v>
      </c>
      <c r="B156" s="4" t="s">
        <v>5</v>
      </c>
      <c r="C156" s="4" t="s">
        <v>6</v>
      </c>
      <c r="D156" s="4" t="s">
        <v>9</v>
      </c>
      <c r="E156" s="4">
        <v>71360</v>
      </c>
      <c r="F156" s="6">
        <v>12673292</v>
      </c>
      <c r="G156" s="5">
        <v>18840100</v>
      </c>
      <c r="H156" s="11">
        <f t="shared" si="4"/>
        <v>0.67267647199324843</v>
      </c>
      <c r="I156" s="11">
        <v>0.66069999999999995</v>
      </c>
      <c r="J156" s="7">
        <v>0.24796974658966064</v>
      </c>
      <c r="K156" s="7">
        <v>570.6</v>
      </c>
      <c r="L156" s="10">
        <v>0.96109807608114595</v>
      </c>
      <c r="M156" s="7">
        <v>111.19593811035156</v>
      </c>
      <c r="N156" s="7">
        <f t="shared" si="5"/>
        <v>111.19593811035156</v>
      </c>
      <c r="O156" s="7">
        <v>9.4500000000000001E-2</v>
      </c>
      <c r="P156" s="7">
        <v>-0.62</v>
      </c>
      <c r="Q156" s="7">
        <v>-0.26</v>
      </c>
      <c r="S156">
        <v>202508</v>
      </c>
      <c r="T156" s="16">
        <v>134.59208679199219</v>
      </c>
      <c r="U156" s="13"/>
    </row>
    <row r="157" spans="1:21" x14ac:dyDescent="0.25">
      <c r="A157" s="4">
        <v>202211</v>
      </c>
      <c r="B157" s="4" t="s">
        <v>5</v>
      </c>
      <c r="C157" s="4" t="s">
        <v>6</v>
      </c>
      <c r="D157" s="4" t="s">
        <v>9</v>
      </c>
      <c r="E157" s="4">
        <v>71360</v>
      </c>
      <c r="F157" s="6">
        <v>20859030</v>
      </c>
      <c r="G157" s="5">
        <v>31456100</v>
      </c>
      <c r="H157" s="11">
        <f t="shared" si="4"/>
        <v>0.66311558012595329</v>
      </c>
      <c r="I157" s="11">
        <v>0.65720000000000001</v>
      </c>
      <c r="J157" s="7">
        <v>0.29648211598396301</v>
      </c>
      <c r="K157" s="7">
        <v>570.6</v>
      </c>
      <c r="L157" s="10">
        <v>0.97369146306419496</v>
      </c>
      <c r="M157" s="7">
        <v>116.71628570556641</v>
      </c>
      <c r="N157" s="7">
        <f t="shared" si="5"/>
        <v>116.71628570556641</v>
      </c>
      <c r="O157" s="7">
        <v>0.18459999999999999</v>
      </c>
      <c r="P157" s="7">
        <v>-0.62</v>
      </c>
      <c r="Q157" s="7">
        <v>-0.26</v>
      </c>
      <c r="S157">
        <v>202509</v>
      </c>
      <c r="T157" s="16">
        <v>124.08848571777344</v>
      </c>
      <c r="U157" s="13"/>
    </row>
    <row r="158" spans="1:21" x14ac:dyDescent="0.25">
      <c r="A158" s="4">
        <v>202210</v>
      </c>
      <c r="B158" s="4" t="s">
        <v>5</v>
      </c>
      <c r="C158" s="4" t="s">
        <v>6</v>
      </c>
      <c r="D158" s="4" t="s">
        <v>9</v>
      </c>
      <c r="E158" s="4">
        <v>71360</v>
      </c>
      <c r="F158" s="6">
        <v>20303499</v>
      </c>
      <c r="G158" s="5">
        <v>31974900</v>
      </c>
      <c r="H158" s="11">
        <f t="shared" si="4"/>
        <v>0.63498240807633488</v>
      </c>
      <c r="I158" s="11">
        <v>0.62170000000000003</v>
      </c>
      <c r="J158" s="7">
        <v>0.30671361088752747</v>
      </c>
      <c r="K158" s="7">
        <v>570.6</v>
      </c>
      <c r="L158" s="10">
        <v>0.97404754566967999</v>
      </c>
      <c r="M158" s="7">
        <v>143.16241455078125</v>
      </c>
      <c r="N158" s="7">
        <f t="shared" si="5"/>
        <v>143.16241455078125</v>
      </c>
      <c r="O158" s="7">
        <v>0.26950000000000002</v>
      </c>
      <c r="P158" s="7">
        <v>-0.62</v>
      </c>
      <c r="Q158" s="7">
        <v>-0.26</v>
      </c>
      <c r="S158">
        <v>202510</v>
      </c>
      <c r="T158" s="16">
        <v>151.41043090820313</v>
      </c>
      <c r="U158" s="13"/>
    </row>
    <row r="159" spans="1:21" x14ac:dyDescent="0.25">
      <c r="A159" s="4">
        <v>202209</v>
      </c>
      <c r="B159" s="4" t="s">
        <v>5</v>
      </c>
      <c r="C159" s="4" t="s">
        <v>6</v>
      </c>
      <c r="D159" s="4" t="s">
        <v>9</v>
      </c>
      <c r="E159" s="4">
        <v>71360</v>
      </c>
      <c r="F159" s="6">
        <v>7783967</v>
      </c>
      <c r="G159" s="5">
        <v>11269000</v>
      </c>
      <c r="H159" s="11">
        <f t="shared" si="4"/>
        <v>0.69074159197799267</v>
      </c>
      <c r="I159" s="11">
        <v>0.64749999999999996</v>
      </c>
      <c r="J159" s="7">
        <v>0.50662738084793091</v>
      </c>
      <c r="K159" s="7">
        <v>570.6</v>
      </c>
      <c r="L159" s="10">
        <v>0.95938377818617704</v>
      </c>
      <c r="M159" s="7">
        <v>131.98587036132813</v>
      </c>
      <c r="N159" s="7">
        <f t="shared" si="5"/>
        <v>131.98587036132813</v>
      </c>
      <c r="O159" s="7">
        <v>0.18959999999999999</v>
      </c>
      <c r="P159" s="7">
        <v>-0.62</v>
      </c>
      <c r="Q159" s="7">
        <v>-0.26</v>
      </c>
      <c r="U159" s="13"/>
    </row>
    <row r="160" spans="1:21" x14ac:dyDescent="0.25">
      <c r="A160" s="4">
        <v>202208</v>
      </c>
      <c r="B160" s="4" t="s">
        <v>5</v>
      </c>
      <c r="C160" s="4" t="s">
        <v>6</v>
      </c>
      <c r="D160" s="4" t="s">
        <v>9</v>
      </c>
      <c r="E160" s="4">
        <v>71360</v>
      </c>
      <c r="F160" s="6">
        <v>916089</v>
      </c>
      <c r="G160" s="5">
        <v>1233250</v>
      </c>
      <c r="H160" s="11">
        <f t="shared" si="4"/>
        <v>0.74282505574700997</v>
      </c>
      <c r="I160" s="11">
        <v>0.58109999999999995</v>
      </c>
      <c r="J160" s="7">
        <v>0.24869729578495026</v>
      </c>
      <c r="K160" s="7">
        <v>570.6</v>
      </c>
      <c r="L160" s="10">
        <v>0.85577324585863701</v>
      </c>
      <c r="M160" s="7">
        <v>132.86322021484375</v>
      </c>
      <c r="N160" s="7">
        <f t="shared" si="5"/>
        <v>132.86322021484375</v>
      </c>
      <c r="O160" s="7">
        <v>5.2400000000000002E-2</v>
      </c>
      <c r="P160" s="7">
        <v>-0.62</v>
      </c>
      <c r="Q160" s="7">
        <v>-0.26</v>
      </c>
      <c r="U160" s="13"/>
    </row>
    <row r="161" spans="1:21" x14ac:dyDescent="0.25">
      <c r="A161" s="4">
        <v>202207</v>
      </c>
      <c r="B161" s="4" t="s">
        <v>5</v>
      </c>
      <c r="C161" s="4" t="s">
        <v>6</v>
      </c>
      <c r="D161" s="4" t="s">
        <v>9</v>
      </c>
      <c r="E161" s="4">
        <v>71360</v>
      </c>
      <c r="F161" s="6">
        <v>290747</v>
      </c>
      <c r="G161" s="5">
        <v>419194</v>
      </c>
      <c r="H161" s="11">
        <f t="shared" si="4"/>
        <v>0.69358578605609811</v>
      </c>
      <c r="I161" s="11">
        <v>0.46860000000000002</v>
      </c>
      <c r="J161" s="7">
        <v>0.27303358912467957</v>
      </c>
      <c r="K161" s="7">
        <v>570.6</v>
      </c>
      <c r="L161" s="10">
        <v>0.54702898577992098</v>
      </c>
      <c r="M161" s="7">
        <v>117.17676544189453</v>
      </c>
      <c r="N161" s="7">
        <f t="shared" si="5"/>
        <v>117.17676544189453</v>
      </c>
      <c r="O161" s="7">
        <v>6.0100000000000001E-2</v>
      </c>
      <c r="P161" s="7">
        <v>-0.62</v>
      </c>
      <c r="Q161" s="7">
        <v>-0.26</v>
      </c>
      <c r="U161" s="13"/>
    </row>
    <row r="162" spans="1:21" x14ac:dyDescent="0.25">
      <c r="A162" s="4">
        <v>202206</v>
      </c>
      <c r="B162" s="4" t="s">
        <v>5</v>
      </c>
      <c r="C162" s="4" t="s">
        <v>6</v>
      </c>
      <c r="D162" s="4" t="s">
        <v>9</v>
      </c>
      <c r="E162" s="4">
        <v>71360</v>
      </c>
      <c r="F162" s="6">
        <v>15006</v>
      </c>
      <c r="G162" s="5">
        <v>24000</v>
      </c>
      <c r="H162" s="11">
        <f t="shared" si="4"/>
        <v>0.62524999999999997</v>
      </c>
      <c r="I162" s="11">
        <v>0.2596</v>
      </c>
      <c r="J162" s="7">
        <v>0.37673652172088623</v>
      </c>
      <c r="K162" s="7">
        <v>570.6</v>
      </c>
      <c r="L162" s="10">
        <v>9.2054007962555098E-2</v>
      </c>
      <c r="M162" s="7">
        <v>130.70732116699219</v>
      </c>
      <c r="N162" s="7">
        <f t="shared" si="5"/>
        <v>130.70732116699219</v>
      </c>
      <c r="O162" s="7">
        <v>1.5E-3</v>
      </c>
      <c r="P162" s="7">
        <v>-0.62</v>
      </c>
      <c r="Q162" s="7">
        <v>-0.26</v>
      </c>
      <c r="U162" s="13"/>
    </row>
    <row r="163" spans="1:21" x14ac:dyDescent="0.25">
      <c r="A163" s="4">
        <v>202204</v>
      </c>
      <c r="B163" s="4" t="s">
        <v>5</v>
      </c>
      <c r="C163" s="4" t="s">
        <v>6</v>
      </c>
      <c r="D163" s="4" t="s">
        <v>9</v>
      </c>
      <c r="E163" s="4">
        <v>71360</v>
      </c>
      <c r="F163" s="6">
        <v>264490</v>
      </c>
      <c r="G163" s="5">
        <v>410000</v>
      </c>
      <c r="H163" s="11">
        <f t="shared" si="4"/>
        <v>0.64509756097560977</v>
      </c>
      <c r="I163" s="11">
        <v>0.45379999999999998</v>
      </c>
      <c r="J163" s="7">
        <v>0.41409075260162354</v>
      </c>
      <c r="K163" s="7">
        <v>570.6</v>
      </c>
      <c r="L163" s="10">
        <v>0.57486203876172803</v>
      </c>
      <c r="M163" s="7">
        <v>191.14309692382813</v>
      </c>
      <c r="N163" s="7">
        <f t="shared" si="5"/>
        <v>191.14309692382813</v>
      </c>
      <c r="O163" s="7">
        <v>6.6E-3</v>
      </c>
      <c r="P163" s="7">
        <v>-0.62</v>
      </c>
      <c r="Q163" s="7">
        <v>-0.26</v>
      </c>
      <c r="U163" s="13"/>
    </row>
    <row r="164" spans="1:21" x14ac:dyDescent="0.25">
      <c r="A164" s="4">
        <v>202203</v>
      </c>
      <c r="B164" s="4" t="s">
        <v>5</v>
      </c>
      <c r="C164" s="4" t="s">
        <v>6</v>
      </c>
      <c r="D164" s="4" t="s">
        <v>9</v>
      </c>
      <c r="E164" s="4">
        <v>71360</v>
      </c>
      <c r="F164" s="6">
        <v>705987</v>
      </c>
      <c r="G164" s="5">
        <v>1047750</v>
      </c>
      <c r="H164" s="11">
        <f t="shared" si="4"/>
        <v>0.6738124552612742</v>
      </c>
      <c r="I164" s="11">
        <v>0.67379999999999995</v>
      </c>
      <c r="J164" s="7">
        <v>0.46701973676681519</v>
      </c>
      <c r="K164" s="7">
        <v>570.6</v>
      </c>
      <c r="L164" s="10">
        <v>1</v>
      </c>
      <c r="M164" s="7">
        <v>318.95492553710938</v>
      </c>
      <c r="N164" s="7">
        <f t="shared" si="5"/>
        <v>318.95492553710938</v>
      </c>
      <c r="O164" s="7">
        <v>1.35E-2</v>
      </c>
      <c r="P164" s="7">
        <v>-0.62</v>
      </c>
      <c r="Q164" s="7">
        <v>-0.26</v>
      </c>
      <c r="U164" s="13"/>
    </row>
    <row r="165" spans="1:21" x14ac:dyDescent="0.25">
      <c r="A165" s="4">
        <v>202202</v>
      </c>
      <c r="B165" s="4" t="s">
        <v>5</v>
      </c>
      <c r="C165" s="4" t="s">
        <v>6</v>
      </c>
      <c r="D165" s="4" t="s">
        <v>9</v>
      </c>
      <c r="E165" s="4">
        <v>71360</v>
      </c>
      <c r="F165" s="6">
        <v>844187</v>
      </c>
      <c r="G165" s="5">
        <v>1218950</v>
      </c>
      <c r="H165" s="11">
        <f t="shared" si="4"/>
        <v>0.69255260675171249</v>
      </c>
      <c r="I165" s="11">
        <v>0.70020000000000004</v>
      </c>
      <c r="J165" s="7">
        <v>0.17114667594432831</v>
      </c>
      <c r="K165" s="7">
        <v>570.6</v>
      </c>
      <c r="L165" s="10">
        <v>0.91685111854952395</v>
      </c>
      <c r="M165" s="7">
        <v>216.15901184082031</v>
      </c>
      <c r="N165" s="7">
        <f t="shared" si="5"/>
        <v>216.15901184082031</v>
      </c>
      <c r="O165" s="7">
        <v>1.47E-2</v>
      </c>
      <c r="P165" s="7">
        <v>-0.62</v>
      </c>
      <c r="Q165" s="7">
        <v>-0.26</v>
      </c>
      <c r="U165" s="13"/>
    </row>
    <row r="166" spans="1:21" x14ac:dyDescent="0.25">
      <c r="A166" s="4">
        <v>202201</v>
      </c>
      <c r="B166" s="4" t="s">
        <v>5</v>
      </c>
      <c r="C166" s="4" t="s">
        <v>6</v>
      </c>
      <c r="D166" s="4" t="s">
        <v>9</v>
      </c>
      <c r="E166" s="4">
        <v>71360</v>
      </c>
      <c r="F166" s="6">
        <v>8632042</v>
      </c>
      <c r="G166" s="5">
        <v>12254100</v>
      </c>
      <c r="H166" s="11">
        <f t="shared" si="4"/>
        <v>0.70442072449221083</v>
      </c>
      <c r="I166" s="11">
        <v>0.70469999999999999</v>
      </c>
      <c r="J166" s="7">
        <v>0.21815009415149689</v>
      </c>
      <c r="K166" s="7">
        <v>570.6</v>
      </c>
      <c r="L166" s="10">
        <v>0.99763721085477597</v>
      </c>
      <c r="M166" s="7">
        <v>138.67498779296875</v>
      </c>
      <c r="N166" s="7">
        <f t="shared" si="5"/>
        <v>138.67498779296875</v>
      </c>
      <c r="O166" s="7">
        <v>0.11269999999999999</v>
      </c>
      <c r="P166" s="7">
        <v>-0.62</v>
      </c>
      <c r="Q166" s="7">
        <v>-0.26</v>
      </c>
      <c r="U166" s="13"/>
    </row>
    <row r="167" spans="1:21" x14ac:dyDescent="0.25">
      <c r="A167" s="4">
        <v>202112</v>
      </c>
      <c r="B167" s="4" t="s">
        <v>5</v>
      </c>
      <c r="C167" s="4" t="s">
        <v>6</v>
      </c>
      <c r="D167" s="4" t="s">
        <v>9</v>
      </c>
      <c r="E167" s="4">
        <v>71360</v>
      </c>
      <c r="F167" s="6">
        <v>21214570</v>
      </c>
      <c r="G167" s="5">
        <v>30734300</v>
      </c>
      <c r="H167" s="11">
        <f t="shared" si="4"/>
        <v>0.69025713941752376</v>
      </c>
      <c r="I167" s="11">
        <v>0.69079999999999997</v>
      </c>
      <c r="J167" s="7">
        <v>0.14811158180236816</v>
      </c>
      <c r="K167" s="7">
        <v>490.7</v>
      </c>
      <c r="L167" s="10">
        <v>0.99396538568957804</v>
      </c>
      <c r="M167" s="7">
        <v>105.34542083740234</v>
      </c>
      <c r="N167" s="7">
        <f t="shared" si="5"/>
        <v>105.34542083740234</v>
      </c>
      <c r="O167" s="7">
        <v>0.26729999999999998</v>
      </c>
      <c r="P167" s="7">
        <v>-0.69</v>
      </c>
      <c r="Q167" s="7">
        <v>-0.34</v>
      </c>
      <c r="U167" s="13"/>
    </row>
    <row r="168" spans="1:21" x14ac:dyDescent="0.25">
      <c r="A168" s="4">
        <v>202111</v>
      </c>
      <c r="B168" s="4" t="s">
        <v>5</v>
      </c>
      <c r="C168" s="4" t="s">
        <v>6</v>
      </c>
      <c r="D168" s="4" t="s">
        <v>9</v>
      </c>
      <c r="E168" s="4">
        <v>71360</v>
      </c>
      <c r="F168" s="6">
        <v>37105397</v>
      </c>
      <c r="G168" s="5">
        <v>48128200</v>
      </c>
      <c r="H168" s="11">
        <f t="shared" si="4"/>
        <v>0.77096997186680571</v>
      </c>
      <c r="I168" s="11">
        <v>0.77100000000000002</v>
      </c>
      <c r="J168" s="7">
        <v>0.15636105835437775</v>
      </c>
      <c r="K168" s="7">
        <v>490.7</v>
      </c>
      <c r="L168" s="10">
        <v>1</v>
      </c>
      <c r="M168" s="7">
        <v>86.569145202636719</v>
      </c>
      <c r="N168" s="7">
        <f t="shared" si="5"/>
        <v>86.569145202636719</v>
      </c>
      <c r="O168" s="7">
        <v>0.51739999999999997</v>
      </c>
      <c r="P168" s="7">
        <v>-0.69</v>
      </c>
      <c r="Q168" s="7">
        <v>-0.34</v>
      </c>
      <c r="U168" s="13"/>
    </row>
    <row r="169" spans="1:21" x14ac:dyDescent="0.25">
      <c r="A169" s="4">
        <v>202110</v>
      </c>
      <c r="B169" s="4" t="s">
        <v>5</v>
      </c>
      <c r="C169" s="4" t="s">
        <v>6</v>
      </c>
      <c r="D169" s="4" t="s">
        <v>9</v>
      </c>
      <c r="E169" s="4">
        <v>71360</v>
      </c>
      <c r="F169" s="6">
        <v>39148872</v>
      </c>
      <c r="G169" s="5">
        <v>32772066</v>
      </c>
      <c r="H169" s="11">
        <f t="shared" si="4"/>
        <v>1.1945805308704065</v>
      </c>
      <c r="I169" s="11">
        <v>1.196</v>
      </c>
      <c r="J169" s="7">
        <v>0.25541067123413086</v>
      </c>
      <c r="K169" s="7">
        <v>490.7</v>
      </c>
      <c r="L169" s="10">
        <v>0.99827424900966499</v>
      </c>
      <c r="M169" s="7">
        <v>79.02923583984375</v>
      </c>
      <c r="N169" s="7">
        <f t="shared" si="5"/>
        <v>79.02923583984375</v>
      </c>
      <c r="O169" s="7">
        <v>0.29120000000000001</v>
      </c>
      <c r="P169" s="7">
        <v>-0.69</v>
      </c>
      <c r="Q169" s="7">
        <v>-0.34</v>
      </c>
      <c r="U169" s="13"/>
    </row>
    <row r="170" spans="1:21" x14ac:dyDescent="0.25">
      <c r="A170" s="4">
        <v>202109</v>
      </c>
      <c r="B170" s="4" t="s">
        <v>5</v>
      </c>
      <c r="C170" s="4" t="s">
        <v>6</v>
      </c>
      <c r="D170" s="4" t="s">
        <v>9</v>
      </c>
      <c r="E170" s="4">
        <v>71360</v>
      </c>
      <c r="F170" s="6">
        <v>27308535</v>
      </c>
      <c r="G170" s="5">
        <v>34795400</v>
      </c>
      <c r="H170" s="11">
        <f t="shared" si="4"/>
        <v>0.78483175937049154</v>
      </c>
      <c r="I170" s="11">
        <v>0.78480000000000005</v>
      </c>
      <c r="J170" s="7">
        <v>0.43071159720420837</v>
      </c>
      <c r="K170" s="7">
        <v>490.7</v>
      </c>
      <c r="L170" s="10">
        <v>1</v>
      </c>
      <c r="M170" s="7">
        <v>80.696968078613281</v>
      </c>
      <c r="N170" s="7">
        <f t="shared" si="5"/>
        <v>80.696968078613281</v>
      </c>
      <c r="O170" s="7">
        <v>0.51100000000000001</v>
      </c>
      <c r="P170" s="7">
        <v>-0.69</v>
      </c>
      <c r="Q170" s="7">
        <v>-0.34</v>
      </c>
      <c r="U170" s="13"/>
    </row>
    <row r="171" spans="1:21" x14ac:dyDescent="0.25">
      <c r="A171" s="4">
        <v>202108</v>
      </c>
      <c r="B171" s="4" t="s">
        <v>5</v>
      </c>
      <c r="C171" s="4" t="s">
        <v>6</v>
      </c>
      <c r="D171" s="4" t="s">
        <v>9</v>
      </c>
      <c r="E171" s="4">
        <v>71360</v>
      </c>
      <c r="F171" s="6">
        <v>4671903</v>
      </c>
      <c r="G171" s="5">
        <v>6485450</v>
      </c>
      <c r="H171" s="11">
        <f t="shared" si="4"/>
        <v>0.72036682111495731</v>
      </c>
      <c r="I171" s="11">
        <v>0.72040000000000004</v>
      </c>
      <c r="J171" s="7">
        <v>0.14482259750366211</v>
      </c>
      <c r="K171" s="7">
        <v>490.7</v>
      </c>
      <c r="L171" s="10">
        <v>1</v>
      </c>
      <c r="M171" s="7">
        <v>89.486549377441406</v>
      </c>
      <c r="N171" s="7">
        <f t="shared" si="5"/>
        <v>89.486549377441406</v>
      </c>
      <c r="O171" s="7">
        <v>8.5400000000000004E-2</v>
      </c>
      <c r="P171" s="7">
        <v>-0.69</v>
      </c>
      <c r="Q171" s="7">
        <v>-0.34</v>
      </c>
      <c r="U171" s="13"/>
    </row>
    <row r="172" spans="1:21" x14ac:dyDescent="0.25">
      <c r="A172" s="4">
        <v>202107</v>
      </c>
      <c r="B172" s="4" t="s">
        <v>5</v>
      </c>
      <c r="C172" s="4" t="s">
        <v>6</v>
      </c>
      <c r="D172" s="4" t="s">
        <v>9</v>
      </c>
      <c r="E172" s="4">
        <v>71360</v>
      </c>
      <c r="F172" s="6">
        <v>1747159</v>
      </c>
      <c r="G172" s="5">
        <v>2388860</v>
      </c>
      <c r="H172" s="11">
        <f t="shared" si="4"/>
        <v>0.73137772828880721</v>
      </c>
      <c r="I172" s="11">
        <v>0.73129999999999995</v>
      </c>
      <c r="J172" s="7">
        <v>0.17029666900634766</v>
      </c>
      <c r="K172" s="7">
        <v>490.7</v>
      </c>
      <c r="L172" s="10">
        <v>0.99064051810263398</v>
      </c>
      <c r="M172" s="7">
        <v>58.420768737792969</v>
      </c>
      <c r="N172" s="7">
        <f t="shared" si="5"/>
        <v>58.420768737792969</v>
      </c>
      <c r="O172" s="7">
        <v>5.21E-2</v>
      </c>
      <c r="P172" s="7">
        <v>-0.69</v>
      </c>
      <c r="Q172" s="7">
        <v>-0.34</v>
      </c>
      <c r="U172" s="13"/>
    </row>
    <row r="173" spans="1:21" x14ac:dyDescent="0.25">
      <c r="A173" s="4">
        <v>202106</v>
      </c>
      <c r="B173" s="4" t="s">
        <v>5</v>
      </c>
      <c r="C173" s="4" t="s">
        <v>6</v>
      </c>
      <c r="D173" s="4" t="s">
        <v>9</v>
      </c>
      <c r="E173" s="4">
        <v>71360</v>
      </c>
      <c r="F173" s="6">
        <v>1886570</v>
      </c>
      <c r="G173" s="5">
        <v>2788080</v>
      </c>
      <c r="H173" s="11">
        <f t="shared" si="4"/>
        <v>0.67665561963788701</v>
      </c>
      <c r="I173" s="11">
        <v>0.67400000000000004</v>
      </c>
      <c r="J173" s="7">
        <v>0.18566654622554779</v>
      </c>
      <c r="K173" s="7">
        <v>490.7</v>
      </c>
      <c r="L173" s="10">
        <v>0.99957507052133798</v>
      </c>
      <c r="M173" s="7">
        <v>74.127120971679688</v>
      </c>
      <c r="N173" s="7">
        <f t="shared" si="5"/>
        <v>74.127120971679688</v>
      </c>
      <c r="O173" s="7">
        <v>0.12839999999999999</v>
      </c>
      <c r="P173" s="7">
        <v>-0.69</v>
      </c>
      <c r="Q173" s="7">
        <v>-0.34</v>
      </c>
      <c r="U173" s="13"/>
    </row>
    <row r="174" spans="1:21" x14ac:dyDescent="0.25">
      <c r="A174" s="4">
        <v>202105</v>
      </c>
      <c r="B174" s="4" t="s">
        <v>5</v>
      </c>
      <c r="C174" s="4" t="s">
        <v>6</v>
      </c>
      <c r="D174" s="4" t="s">
        <v>9</v>
      </c>
      <c r="E174" s="4">
        <v>71360</v>
      </c>
      <c r="F174" s="6">
        <v>116130</v>
      </c>
      <c r="G174" s="5">
        <v>173000</v>
      </c>
      <c r="H174" s="11">
        <f t="shared" si="4"/>
        <v>0.67127167630057805</v>
      </c>
      <c r="I174" s="11">
        <v>0.61550000000000005</v>
      </c>
      <c r="J174" s="7">
        <v>0.30895048379898071</v>
      </c>
      <c r="K174" s="7">
        <v>490.7</v>
      </c>
      <c r="L174" s="10">
        <v>0.64394317463485995</v>
      </c>
      <c r="M174" s="7">
        <v>93.007133483886719</v>
      </c>
      <c r="N174" s="7">
        <f t="shared" si="5"/>
        <v>93.007133483886719</v>
      </c>
      <c r="O174" s="7">
        <v>2.41E-2</v>
      </c>
      <c r="P174" s="7">
        <v>-0.69</v>
      </c>
      <c r="Q174" s="7">
        <v>-0.34</v>
      </c>
      <c r="U174" s="13"/>
    </row>
    <row r="175" spans="1:21" x14ac:dyDescent="0.25">
      <c r="A175" s="4">
        <v>202104</v>
      </c>
      <c r="B175" s="4" t="s">
        <v>5</v>
      </c>
      <c r="C175" s="4" t="s">
        <v>6</v>
      </c>
      <c r="D175" s="4" t="s">
        <v>9</v>
      </c>
      <c r="E175" s="4">
        <v>71360</v>
      </c>
      <c r="F175" s="6">
        <v>816347</v>
      </c>
      <c r="G175" s="5">
        <v>1445000</v>
      </c>
      <c r="H175" s="11">
        <f t="shared" si="4"/>
        <v>0.56494602076124567</v>
      </c>
      <c r="I175" s="11">
        <v>0.57699999999999996</v>
      </c>
      <c r="J175" s="7">
        <v>0.18157270550727844</v>
      </c>
      <c r="K175" s="7">
        <v>490.7</v>
      </c>
      <c r="L175" s="10">
        <v>0.94905530082495504</v>
      </c>
      <c r="M175" s="7">
        <v>88.166221618652344</v>
      </c>
      <c r="N175" s="7">
        <f t="shared" si="5"/>
        <v>88.166221618652344</v>
      </c>
      <c r="O175" s="7">
        <v>0.1016</v>
      </c>
      <c r="P175" s="7">
        <v>-0.69</v>
      </c>
      <c r="Q175" s="7">
        <v>-0.34</v>
      </c>
      <c r="U175" s="13"/>
    </row>
    <row r="176" spans="1:21" x14ac:dyDescent="0.25">
      <c r="A176" s="4">
        <v>202103</v>
      </c>
      <c r="B176" s="4" t="s">
        <v>5</v>
      </c>
      <c r="C176" s="4" t="s">
        <v>6</v>
      </c>
      <c r="D176" s="4" t="s">
        <v>9</v>
      </c>
      <c r="E176" s="4">
        <v>71360</v>
      </c>
      <c r="F176" s="6">
        <v>439653</v>
      </c>
      <c r="G176" s="5">
        <v>811000</v>
      </c>
      <c r="H176" s="11">
        <f t="shared" si="4"/>
        <v>0.54211220715166464</v>
      </c>
      <c r="I176" s="11">
        <v>0.51400000000000001</v>
      </c>
      <c r="J176" s="7">
        <v>0.31441047787666321</v>
      </c>
      <c r="K176" s="7">
        <v>490.7</v>
      </c>
      <c r="L176" s="10">
        <v>0.86830801073601704</v>
      </c>
      <c r="M176" s="7">
        <v>78.618766784667969</v>
      </c>
      <c r="N176" s="7">
        <f t="shared" si="5"/>
        <v>78.618766784667969</v>
      </c>
      <c r="O176" s="7">
        <v>0.1777</v>
      </c>
      <c r="P176" s="7">
        <v>-0.69</v>
      </c>
      <c r="Q176" s="7">
        <v>-0.34</v>
      </c>
      <c r="U176" s="13"/>
    </row>
    <row r="177" spans="1:21" x14ac:dyDescent="0.25">
      <c r="A177" s="4">
        <v>202102</v>
      </c>
      <c r="B177" s="4" t="s">
        <v>5</v>
      </c>
      <c r="C177" s="4" t="s">
        <v>6</v>
      </c>
      <c r="D177" s="4" t="s">
        <v>9</v>
      </c>
      <c r="E177" s="4">
        <v>71360</v>
      </c>
      <c r="F177" s="6">
        <v>713899</v>
      </c>
      <c r="G177" s="5">
        <v>1000000</v>
      </c>
      <c r="H177" s="11">
        <f t="shared" si="4"/>
        <v>0.71389899999999995</v>
      </c>
      <c r="I177" s="11">
        <v>0.54169999999999996</v>
      </c>
      <c r="J177" s="7">
        <v>0.14015078544616699</v>
      </c>
      <c r="K177" s="7">
        <v>490.7</v>
      </c>
      <c r="L177" s="10">
        <v>0.90718236818262099</v>
      </c>
      <c r="M177" s="7">
        <v>73.956802368164063</v>
      </c>
      <c r="N177" s="7">
        <f t="shared" si="5"/>
        <v>73.956802368164063</v>
      </c>
      <c r="O177" s="7">
        <v>9.2499999999999999E-2</v>
      </c>
      <c r="P177" s="7">
        <v>-0.69</v>
      </c>
      <c r="Q177" s="7">
        <v>-0.34</v>
      </c>
      <c r="U177" s="13"/>
    </row>
    <row r="178" spans="1:21" x14ac:dyDescent="0.25">
      <c r="A178" s="4">
        <v>202101</v>
      </c>
      <c r="B178" s="4" t="s">
        <v>5</v>
      </c>
      <c r="C178" s="4" t="s">
        <v>6</v>
      </c>
      <c r="D178" s="4" t="s">
        <v>9</v>
      </c>
      <c r="E178" s="4">
        <v>71360</v>
      </c>
      <c r="F178" s="6">
        <v>16149145</v>
      </c>
      <c r="G178" s="5">
        <v>27430000</v>
      </c>
      <c r="H178" s="11">
        <f t="shared" si="4"/>
        <v>0.58874024790375501</v>
      </c>
      <c r="I178" s="11">
        <v>0.5887</v>
      </c>
      <c r="J178" s="7">
        <v>0.12384448945522308</v>
      </c>
      <c r="K178" s="7">
        <v>490.7</v>
      </c>
      <c r="L178" s="10">
        <v>1</v>
      </c>
      <c r="M178" s="7">
        <v>77.418701171875</v>
      </c>
      <c r="N178" s="7">
        <f t="shared" si="5"/>
        <v>77.418701171875</v>
      </c>
      <c r="O178" s="7">
        <v>0.35210000000000002</v>
      </c>
      <c r="P178" s="7">
        <v>-0.69</v>
      </c>
      <c r="Q178" s="7">
        <v>-0.34</v>
      </c>
      <c r="U178" s="13"/>
    </row>
    <row r="179" spans="1:21" x14ac:dyDescent="0.25">
      <c r="A179" s="4">
        <v>202012</v>
      </c>
      <c r="B179" s="4" t="s">
        <v>5</v>
      </c>
      <c r="C179" s="4" t="s">
        <v>6</v>
      </c>
      <c r="D179" s="4" t="s">
        <v>9</v>
      </c>
      <c r="E179" s="4">
        <v>71360</v>
      </c>
      <c r="F179" s="6">
        <v>50421725</v>
      </c>
      <c r="G179" s="5">
        <v>82478900</v>
      </c>
      <c r="H179" s="11">
        <f t="shared" si="4"/>
        <v>0.61132877620821813</v>
      </c>
      <c r="I179" s="11">
        <v>0.61129999999999995</v>
      </c>
      <c r="J179" s="7">
        <v>0.11803588271141052</v>
      </c>
      <c r="K179" s="7">
        <v>493.3</v>
      </c>
      <c r="L179" s="10">
        <v>0.99824092288630895</v>
      </c>
      <c r="M179" s="7">
        <v>64.067291259765625</v>
      </c>
      <c r="N179" s="7">
        <f t="shared" si="5"/>
        <v>64.067291259765625</v>
      </c>
      <c r="O179" s="7">
        <v>0.38219999999999998</v>
      </c>
      <c r="P179" s="7">
        <v>-0.84</v>
      </c>
      <c r="Q179" s="7">
        <v>-0.48</v>
      </c>
      <c r="U179" s="13"/>
    </row>
    <row r="180" spans="1:21" x14ac:dyDescent="0.25">
      <c r="A180" s="4">
        <v>202011</v>
      </c>
      <c r="B180" s="4" t="s">
        <v>5</v>
      </c>
      <c r="C180" s="4" t="s">
        <v>6</v>
      </c>
      <c r="D180" s="4" t="s">
        <v>9</v>
      </c>
      <c r="E180" s="4">
        <v>71360</v>
      </c>
      <c r="F180" s="6">
        <v>30403322</v>
      </c>
      <c r="G180" s="5">
        <v>46770400</v>
      </c>
      <c r="H180" s="11">
        <f t="shared" si="4"/>
        <v>0.65005477823580726</v>
      </c>
      <c r="I180" s="11">
        <v>0.64059999999999995</v>
      </c>
      <c r="J180" s="7">
        <v>0.18354517221450806</v>
      </c>
      <c r="K180" s="7">
        <v>493.3</v>
      </c>
      <c r="L180" s="10">
        <v>0.99577496922769204</v>
      </c>
      <c r="M180" s="7">
        <v>70.067466735839844</v>
      </c>
      <c r="N180" s="7">
        <f t="shared" si="5"/>
        <v>70.067466735839844</v>
      </c>
      <c r="O180" s="7">
        <v>0.3327</v>
      </c>
      <c r="P180" s="7">
        <v>-0.84</v>
      </c>
      <c r="Q180" s="7">
        <v>-0.48</v>
      </c>
      <c r="U180" s="13"/>
    </row>
    <row r="181" spans="1:21" x14ac:dyDescent="0.25">
      <c r="A181" s="4">
        <v>202008</v>
      </c>
      <c r="B181" s="4" t="s">
        <v>5</v>
      </c>
      <c r="C181" s="4" t="s">
        <v>6</v>
      </c>
      <c r="D181" s="4" t="s">
        <v>9</v>
      </c>
      <c r="E181" s="4">
        <v>71360</v>
      </c>
      <c r="F181" s="6">
        <v>131890</v>
      </c>
      <c r="G181" s="5">
        <v>250000</v>
      </c>
      <c r="H181" s="11">
        <f t="shared" si="4"/>
        <v>0.52756000000000003</v>
      </c>
      <c r="I181" s="11">
        <v>0.55759999999999998</v>
      </c>
      <c r="J181" s="7">
        <v>9.7956277430057526E-2</v>
      </c>
      <c r="K181" s="7">
        <v>493.3</v>
      </c>
      <c r="L181" s="10">
        <v>0.63928689144385997</v>
      </c>
      <c r="M181" s="7">
        <v>65.466049194335938</v>
      </c>
      <c r="N181" s="7">
        <f t="shared" si="5"/>
        <v>65.466049194335938</v>
      </c>
      <c r="O181" s="7">
        <v>8.1699999999999995E-2</v>
      </c>
      <c r="P181" s="7">
        <v>-0.84</v>
      </c>
      <c r="Q181" s="7">
        <v>-0.48</v>
      </c>
      <c r="U181" s="13"/>
    </row>
    <row r="182" spans="1:21" x14ac:dyDescent="0.25">
      <c r="A182" s="4">
        <v>202006</v>
      </c>
      <c r="B182" s="4" t="s">
        <v>5</v>
      </c>
      <c r="C182" s="4" t="s">
        <v>6</v>
      </c>
      <c r="D182" s="4" t="s">
        <v>9</v>
      </c>
      <c r="E182" s="4">
        <v>71360</v>
      </c>
      <c r="F182" s="6">
        <v>104359</v>
      </c>
      <c r="G182" s="5">
        <v>190000</v>
      </c>
      <c r="H182" s="11">
        <f t="shared" si="4"/>
        <v>0.54925789473684206</v>
      </c>
      <c r="I182" s="11">
        <v>0.66810000000000003</v>
      </c>
      <c r="J182" s="7">
        <v>0.32299742102622986</v>
      </c>
      <c r="K182" s="7">
        <v>493.3</v>
      </c>
      <c r="L182" s="10">
        <v>8.6792898483105702E-2</v>
      </c>
      <c r="M182" s="7">
        <v>71.227859497070313</v>
      </c>
      <c r="N182" s="7">
        <f t="shared" si="5"/>
        <v>71.227859497070313</v>
      </c>
      <c r="O182" s="7">
        <v>1</v>
      </c>
      <c r="P182" s="7">
        <v>-0.84</v>
      </c>
      <c r="Q182" s="7">
        <v>-0.48</v>
      </c>
      <c r="U182" s="13"/>
    </row>
    <row r="183" spans="1:21" x14ac:dyDescent="0.25">
      <c r="A183" s="4">
        <v>202001</v>
      </c>
      <c r="B183" s="4" t="s">
        <v>5</v>
      </c>
      <c r="C183" s="4" t="s">
        <v>6</v>
      </c>
      <c r="D183" s="4" t="s">
        <v>9</v>
      </c>
      <c r="E183" s="4">
        <v>71360</v>
      </c>
      <c r="F183" s="6">
        <v>62171</v>
      </c>
      <c r="G183" s="5">
        <v>125000</v>
      </c>
      <c r="H183" s="11">
        <f t="shared" si="4"/>
        <v>0.49736799999999998</v>
      </c>
      <c r="I183" s="11">
        <v>0.49740000000000001</v>
      </c>
      <c r="J183" s="7">
        <v>0.18089565634727478</v>
      </c>
      <c r="K183" s="7">
        <v>493.3</v>
      </c>
      <c r="L183" s="10">
        <v>1</v>
      </c>
      <c r="M183" s="7">
        <v>138.42094421386719</v>
      </c>
      <c r="N183" s="7">
        <f t="shared" si="5"/>
        <v>138.42094421386719</v>
      </c>
      <c r="O183" s="7">
        <v>1.6999999999999999E-3</v>
      </c>
      <c r="P183" s="7">
        <v>-0.84</v>
      </c>
      <c r="Q183" s="7">
        <v>-0.48</v>
      </c>
      <c r="U183" s="13"/>
    </row>
    <row r="184" spans="1:21" x14ac:dyDescent="0.25">
      <c r="A184" s="4">
        <v>201912</v>
      </c>
      <c r="B184" s="4" t="s">
        <v>5</v>
      </c>
      <c r="C184" s="4" t="s">
        <v>6</v>
      </c>
      <c r="D184" s="4" t="s">
        <v>9</v>
      </c>
      <c r="E184" s="4">
        <v>71360</v>
      </c>
      <c r="F184" s="6">
        <v>184324</v>
      </c>
      <c r="G184" s="5">
        <v>375000</v>
      </c>
      <c r="H184" s="11">
        <f t="shared" si="4"/>
        <v>0.49153066666666667</v>
      </c>
      <c r="I184" s="11">
        <v>0.3881</v>
      </c>
      <c r="J184" s="7">
        <v>9.2224054038524628E-2</v>
      </c>
      <c r="K184" s="7">
        <v>484.9</v>
      </c>
      <c r="L184" s="10">
        <v>0.28930859070283499</v>
      </c>
      <c r="M184" s="7">
        <v>74.279891967773438</v>
      </c>
      <c r="N184" s="7">
        <f t="shared" si="5"/>
        <v>74.279891967773438</v>
      </c>
      <c r="O184" s="7">
        <v>1.2999999999999999E-2</v>
      </c>
      <c r="P184" s="7">
        <v>-0.8</v>
      </c>
      <c r="Q184" s="7">
        <v>-0.39</v>
      </c>
      <c r="U184" s="13"/>
    </row>
    <row r="185" spans="1:21" x14ac:dyDescent="0.25">
      <c r="A185" s="4">
        <v>201911</v>
      </c>
      <c r="B185" s="4" t="s">
        <v>5</v>
      </c>
      <c r="C185" s="4" t="s">
        <v>6</v>
      </c>
      <c r="D185" s="4" t="s">
        <v>9</v>
      </c>
      <c r="E185" s="4">
        <v>71360</v>
      </c>
      <c r="F185" s="6">
        <v>10436426</v>
      </c>
      <c r="G185" s="5">
        <v>17880800</v>
      </c>
      <c r="H185" s="11">
        <f t="shared" si="4"/>
        <v>0.58366661446915125</v>
      </c>
      <c r="I185" s="11">
        <v>0.5837</v>
      </c>
      <c r="J185" s="7">
        <v>7.9225353896617889E-2</v>
      </c>
      <c r="K185" s="7">
        <v>484.9</v>
      </c>
      <c r="L185" s="10">
        <v>1</v>
      </c>
      <c r="M185" s="7">
        <v>73.078384399414063</v>
      </c>
      <c r="N185" s="7">
        <f t="shared" si="5"/>
        <v>73.078384399414063</v>
      </c>
      <c r="O185" s="7">
        <v>0.17249999999999999</v>
      </c>
      <c r="P185" s="7">
        <v>-0.8</v>
      </c>
      <c r="Q185" s="7">
        <v>-0.39</v>
      </c>
      <c r="U185" s="13"/>
    </row>
    <row r="186" spans="1:21" x14ac:dyDescent="0.25">
      <c r="A186" s="4">
        <v>201910</v>
      </c>
      <c r="B186" s="4" t="s">
        <v>5</v>
      </c>
      <c r="C186" s="4" t="s">
        <v>6</v>
      </c>
      <c r="D186" s="4" t="s">
        <v>9</v>
      </c>
      <c r="E186" s="4">
        <v>71360</v>
      </c>
      <c r="F186" s="6">
        <v>13386640</v>
      </c>
      <c r="G186" s="5">
        <v>22552100</v>
      </c>
      <c r="H186" s="11">
        <f t="shared" si="4"/>
        <v>0.59358729342278549</v>
      </c>
      <c r="I186" s="11">
        <v>0.59360000000000002</v>
      </c>
      <c r="J186" s="7">
        <v>0.1681661456823349</v>
      </c>
      <c r="K186" s="7">
        <v>484.9</v>
      </c>
      <c r="L186" s="10">
        <v>1</v>
      </c>
      <c r="M186" s="7">
        <v>97.83673095703125</v>
      </c>
      <c r="N186" s="7">
        <f t="shared" si="5"/>
        <v>97.83673095703125</v>
      </c>
      <c r="O186" s="7">
        <v>0.19220000000000001</v>
      </c>
      <c r="P186" s="7">
        <v>-0.8</v>
      </c>
      <c r="Q186" s="7">
        <v>-0.39</v>
      </c>
      <c r="U186" s="13"/>
    </row>
    <row r="187" spans="1:21" x14ac:dyDescent="0.25">
      <c r="A187" s="4">
        <v>201909</v>
      </c>
      <c r="B187" s="4" t="s">
        <v>5</v>
      </c>
      <c r="C187" s="4" t="s">
        <v>6</v>
      </c>
      <c r="D187" s="4" t="s">
        <v>9</v>
      </c>
      <c r="E187" s="4">
        <v>71360</v>
      </c>
      <c r="F187" s="6">
        <v>3188477</v>
      </c>
      <c r="G187" s="5">
        <v>5001000</v>
      </c>
      <c r="H187" s="11">
        <f t="shared" si="4"/>
        <v>0.63756788642271545</v>
      </c>
      <c r="I187" s="11">
        <v>0.63759999999999994</v>
      </c>
      <c r="J187" s="7">
        <v>0.15501129627227783</v>
      </c>
      <c r="K187" s="7">
        <v>484.9</v>
      </c>
      <c r="L187" s="10">
        <v>1</v>
      </c>
      <c r="M187" s="7">
        <v>90.367988586425781</v>
      </c>
      <c r="N187" s="7">
        <f t="shared" si="5"/>
        <v>90.367988586425781</v>
      </c>
      <c r="O187" s="7">
        <v>0.1024</v>
      </c>
      <c r="P187" s="7">
        <v>-0.8</v>
      </c>
      <c r="Q187" s="7">
        <v>-0.39</v>
      </c>
      <c r="U187" s="13"/>
    </row>
    <row r="188" spans="1:21" x14ac:dyDescent="0.25">
      <c r="A188" s="4">
        <v>201908</v>
      </c>
      <c r="B188" s="4" t="s">
        <v>5</v>
      </c>
      <c r="C188" s="4" t="s">
        <v>6</v>
      </c>
      <c r="D188" s="4" t="s">
        <v>9</v>
      </c>
      <c r="E188" s="4">
        <v>71360</v>
      </c>
      <c r="F188" s="6">
        <v>2441473</v>
      </c>
      <c r="G188" s="5">
        <v>4049000</v>
      </c>
      <c r="H188" s="11">
        <f t="shared" si="4"/>
        <v>0.60298172388244009</v>
      </c>
      <c r="I188" s="11">
        <v>0.60299999999999998</v>
      </c>
      <c r="J188" s="7">
        <v>0.34510219097137451</v>
      </c>
      <c r="K188" s="7">
        <v>484.9</v>
      </c>
      <c r="L188" s="10">
        <v>1</v>
      </c>
      <c r="M188" s="7">
        <v>103.4044189453125</v>
      </c>
      <c r="N188" s="7">
        <f t="shared" si="5"/>
        <v>103.4044189453125</v>
      </c>
      <c r="O188" s="7">
        <v>0.10979999999999999</v>
      </c>
      <c r="P188" s="7">
        <v>-0.8</v>
      </c>
      <c r="Q188" s="7">
        <v>-0.39</v>
      </c>
      <c r="U188" s="13"/>
    </row>
    <row r="189" spans="1:21" x14ac:dyDescent="0.25">
      <c r="A189" s="4">
        <v>201906</v>
      </c>
      <c r="B189" s="4" t="s">
        <v>5</v>
      </c>
      <c r="C189" s="4" t="s">
        <v>6</v>
      </c>
      <c r="D189" s="4" t="s">
        <v>9</v>
      </c>
      <c r="E189" s="4">
        <v>71360</v>
      </c>
      <c r="F189" s="6">
        <v>133293</v>
      </c>
      <c r="G189" s="5">
        <v>225000</v>
      </c>
      <c r="H189" s="11">
        <f t="shared" si="4"/>
        <v>0.59241333333333335</v>
      </c>
      <c r="I189" s="11">
        <v>0.59240000000000004</v>
      </c>
      <c r="J189" s="7">
        <v>0.20709292590618134</v>
      </c>
      <c r="K189" s="7">
        <v>484.9</v>
      </c>
      <c r="L189" s="10">
        <v>1</v>
      </c>
      <c r="M189" s="7">
        <v>106.58845520019531</v>
      </c>
      <c r="N189" s="7">
        <f t="shared" si="5"/>
        <v>106.58845520019531</v>
      </c>
      <c r="O189" s="7">
        <v>1.7399999999999999E-2</v>
      </c>
      <c r="P189" s="7">
        <v>-0.8</v>
      </c>
      <c r="Q189" s="7">
        <v>-0.39</v>
      </c>
      <c r="U189" s="13"/>
    </row>
    <row r="190" spans="1:21" x14ac:dyDescent="0.25">
      <c r="A190" s="4">
        <v>201905</v>
      </c>
      <c r="B190" s="4" t="s">
        <v>5</v>
      </c>
      <c r="C190" s="4" t="s">
        <v>6</v>
      </c>
      <c r="D190" s="4" t="s">
        <v>9</v>
      </c>
      <c r="E190" s="4">
        <v>71360</v>
      </c>
      <c r="F190" s="6">
        <v>111466</v>
      </c>
      <c r="G190" s="5">
        <v>182000</v>
      </c>
      <c r="H190" s="11">
        <f t="shared" si="4"/>
        <v>0.61245054945054944</v>
      </c>
      <c r="I190" s="11">
        <v>0.56620000000000004</v>
      </c>
      <c r="J190" s="7">
        <v>0.26218515634536743</v>
      </c>
      <c r="K190" s="7">
        <v>484.9</v>
      </c>
      <c r="L190" s="10">
        <v>0.76907048628360097</v>
      </c>
      <c r="M190" s="7">
        <v>106.47190093994141</v>
      </c>
      <c r="N190" s="7">
        <f t="shared" si="5"/>
        <v>106.47190093994141</v>
      </c>
      <c r="O190" s="7">
        <v>2.18E-2</v>
      </c>
      <c r="P190" s="7">
        <v>-0.8</v>
      </c>
      <c r="Q190" s="7">
        <v>-0.39</v>
      </c>
      <c r="U190" s="13"/>
    </row>
    <row r="191" spans="1:21" x14ac:dyDescent="0.25">
      <c r="A191" s="4">
        <v>201904</v>
      </c>
      <c r="B191" s="4" t="s">
        <v>5</v>
      </c>
      <c r="C191" s="4" t="s">
        <v>6</v>
      </c>
      <c r="D191" s="4" t="s">
        <v>9</v>
      </c>
      <c r="E191" s="4">
        <v>71360</v>
      </c>
      <c r="F191" s="6">
        <v>366509</v>
      </c>
      <c r="G191" s="5">
        <v>600000</v>
      </c>
      <c r="H191" s="11">
        <f t="shared" si="4"/>
        <v>0.61084833333333333</v>
      </c>
      <c r="I191" s="11">
        <v>0.61080000000000001</v>
      </c>
      <c r="J191" s="7">
        <v>0.35365745425224304</v>
      </c>
      <c r="K191" s="7">
        <v>484.9</v>
      </c>
      <c r="L191" s="10">
        <v>1</v>
      </c>
      <c r="M191" s="7">
        <v>79.253448486328125</v>
      </c>
      <c r="N191" s="7">
        <f t="shared" si="5"/>
        <v>79.253448486328125</v>
      </c>
      <c r="O191" s="7">
        <v>4.7E-2</v>
      </c>
      <c r="P191" s="7">
        <v>-0.8</v>
      </c>
      <c r="Q191" s="7">
        <v>-0.39</v>
      </c>
      <c r="U191" s="13"/>
    </row>
    <row r="192" spans="1:21" x14ac:dyDescent="0.25">
      <c r="A192" s="4">
        <v>201903</v>
      </c>
      <c r="B192" s="4" t="s">
        <v>5</v>
      </c>
      <c r="C192" s="4" t="s">
        <v>6</v>
      </c>
      <c r="D192" s="4" t="s">
        <v>9</v>
      </c>
      <c r="E192" s="4">
        <v>71360</v>
      </c>
      <c r="F192" s="6">
        <v>2732296</v>
      </c>
      <c r="G192" s="5">
        <v>5718270</v>
      </c>
      <c r="H192" s="11">
        <f t="shared" si="4"/>
        <v>0.4778186409525958</v>
      </c>
      <c r="I192" s="11">
        <v>0.47889999999999999</v>
      </c>
      <c r="J192" s="7">
        <v>0.30866771936416626</v>
      </c>
      <c r="K192" s="7">
        <v>484.9</v>
      </c>
      <c r="L192" s="10">
        <v>0.97473143385939998</v>
      </c>
      <c r="M192" s="7">
        <v>82.328292846679688</v>
      </c>
      <c r="N192" s="7">
        <f t="shared" si="5"/>
        <v>82.328292846679688</v>
      </c>
      <c r="O192" s="7">
        <v>0.1139</v>
      </c>
      <c r="P192" s="7">
        <v>-0.8</v>
      </c>
      <c r="Q192" s="7">
        <v>-0.39</v>
      </c>
      <c r="U192" s="13"/>
    </row>
    <row r="193" spans="1:21" x14ac:dyDescent="0.25">
      <c r="A193" s="4">
        <v>201902</v>
      </c>
      <c r="B193" s="4" t="s">
        <v>5</v>
      </c>
      <c r="C193" s="4" t="s">
        <v>6</v>
      </c>
      <c r="D193" s="4" t="s">
        <v>9</v>
      </c>
      <c r="E193" s="4">
        <v>71360</v>
      </c>
      <c r="F193" s="6">
        <v>3307463</v>
      </c>
      <c r="G193" s="5">
        <v>5597500</v>
      </c>
      <c r="H193" s="11">
        <f t="shared" si="4"/>
        <v>0.59088217954443945</v>
      </c>
      <c r="I193" s="11">
        <v>0.5907</v>
      </c>
      <c r="J193" s="7">
        <v>0.3635161817073822</v>
      </c>
      <c r="K193" s="7">
        <v>484.9</v>
      </c>
      <c r="L193" s="10">
        <v>0.99207143834120803</v>
      </c>
      <c r="M193" s="7">
        <v>96.800163269042969</v>
      </c>
      <c r="N193" s="7">
        <f t="shared" si="5"/>
        <v>96.800163269042969</v>
      </c>
      <c r="O193" s="7">
        <v>0.41549999999999998</v>
      </c>
      <c r="P193" s="7">
        <v>-0.8</v>
      </c>
      <c r="Q193" s="7">
        <v>-0.39</v>
      </c>
      <c r="U193" s="13"/>
    </row>
    <row r="194" spans="1:21" x14ac:dyDescent="0.25">
      <c r="A194" s="4">
        <v>201901</v>
      </c>
      <c r="B194" s="4" t="s">
        <v>5</v>
      </c>
      <c r="C194" s="4" t="s">
        <v>6</v>
      </c>
      <c r="D194" s="4" t="s">
        <v>9</v>
      </c>
      <c r="E194" s="4">
        <v>71360</v>
      </c>
      <c r="F194" s="6">
        <v>13871071</v>
      </c>
      <c r="G194" s="5">
        <v>30624000</v>
      </c>
      <c r="H194" s="11">
        <f t="shared" si="4"/>
        <v>0.45294772074190176</v>
      </c>
      <c r="I194" s="11">
        <v>0.45290000000000002</v>
      </c>
      <c r="J194" s="7">
        <v>8.9247770607471466E-2</v>
      </c>
      <c r="K194" s="7">
        <v>484.9</v>
      </c>
      <c r="L194" s="10">
        <v>1</v>
      </c>
      <c r="M194" s="7">
        <v>87.424102783203125</v>
      </c>
      <c r="N194" s="7">
        <f t="shared" si="5"/>
        <v>87.424102783203125</v>
      </c>
      <c r="O194" s="7">
        <v>0.31130000000000002</v>
      </c>
      <c r="P194" s="7">
        <v>-0.8</v>
      </c>
      <c r="Q194" s="7">
        <v>-0.39</v>
      </c>
      <c r="U194" s="13"/>
    </row>
    <row r="195" spans="1:21" x14ac:dyDescent="0.25">
      <c r="A195" s="4">
        <v>201812</v>
      </c>
      <c r="B195" s="4" t="s">
        <v>5</v>
      </c>
      <c r="C195" s="4" t="s">
        <v>6</v>
      </c>
      <c r="D195" s="4" t="s">
        <v>9</v>
      </c>
      <c r="E195" s="4">
        <v>71360</v>
      </c>
      <c r="F195" s="6">
        <v>6677629</v>
      </c>
      <c r="G195" s="5">
        <v>14398200</v>
      </c>
      <c r="H195" s="11">
        <f t="shared" ref="H195:H258" si="6">F195/G195</f>
        <v>0.46378220888722199</v>
      </c>
      <c r="I195" s="11">
        <v>0.4652</v>
      </c>
      <c r="J195" s="7">
        <v>7.9793475568294525E-2</v>
      </c>
      <c r="K195" s="7">
        <v>487.2</v>
      </c>
      <c r="L195" s="10">
        <v>0.96042506707743702</v>
      </c>
      <c r="M195" s="7">
        <v>90.607666015625</v>
      </c>
      <c r="N195" s="7">
        <f t="shared" ref="N195:N258" si="7">VLOOKUP(A195,$S$5:$T$158,2,FALSE)</f>
        <v>90.607666015625</v>
      </c>
      <c r="O195" s="7">
        <v>0.15570000000000001</v>
      </c>
      <c r="P195" s="7">
        <v>-1</v>
      </c>
      <c r="Q195" s="7">
        <v>-0.57999999999999996</v>
      </c>
      <c r="U195" s="13"/>
    </row>
    <row r="196" spans="1:21" x14ac:dyDescent="0.25">
      <c r="A196" s="4">
        <v>201811</v>
      </c>
      <c r="B196" s="4" t="s">
        <v>5</v>
      </c>
      <c r="C196" s="4" t="s">
        <v>6</v>
      </c>
      <c r="D196" s="4" t="s">
        <v>9</v>
      </c>
      <c r="E196" s="4">
        <v>71360</v>
      </c>
      <c r="F196" s="6">
        <v>2680291</v>
      </c>
      <c r="G196" s="5">
        <v>6429000</v>
      </c>
      <c r="H196" s="11">
        <f t="shared" si="6"/>
        <v>0.41690636179810237</v>
      </c>
      <c r="I196" s="11">
        <v>0.41870000000000002</v>
      </c>
      <c r="J196" s="7">
        <v>0.18225744366645813</v>
      </c>
      <c r="K196" s="7">
        <v>487.2</v>
      </c>
      <c r="L196" s="10">
        <v>0.99379096393560695</v>
      </c>
      <c r="M196" s="7">
        <v>80.407585144042969</v>
      </c>
      <c r="N196" s="7">
        <f t="shared" si="7"/>
        <v>80.407585144042969</v>
      </c>
      <c r="O196" s="7">
        <v>0.17849999999999999</v>
      </c>
      <c r="P196" s="7">
        <v>-1</v>
      </c>
      <c r="Q196" s="7">
        <v>-0.57999999999999996</v>
      </c>
      <c r="U196" s="13"/>
    </row>
    <row r="197" spans="1:21" x14ac:dyDescent="0.25">
      <c r="A197" s="4">
        <v>201810</v>
      </c>
      <c r="B197" s="4" t="s">
        <v>5</v>
      </c>
      <c r="C197" s="4" t="s">
        <v>6</v>
      </c>
      <c r="D197" s="4" t="s">
        <v>9</v>
      </c>
      <c r="E197" s="4">
        <v>71360</v>
      </c>
      <c r="F197" s="6">
        <v>163486</v>
      </c>
      <c r="G197" s="5">
        <v>494250</v>
      </c>
      <c r="H197" s="11">
        <f t="shared" si="6"/>
        <v>0.33077592311583209</v>
      </c>
      <c r="I197" s="11">
        <v>0.33079999999999998</v>
      </c>
      <c r="J197" s="7">
        <v>0.20596474409103394</v>
      </c>
      <c r="K197" s="7">
        <v>487.2</v>
      </c>
      <c r="L197" s="10">
        <v>1</v>
      </c>
      <c r="M197" s="7">
        <v>92.0164794921875</v>
      </c>
      <c r="N197" s="7">
        <f t="shared" si="7"/>
        <v>92.0164794921875</v>
      </c>
      <c r="O197" s="7">
        <v>8.3999999999999995E-3</v>
      </c>
      <c r="P197" s="7">
        <v>-1</v>
      </c>
      <c r="Q197" s="7">
        <v>-0.57999999999999996</v>
      </c>
      <c r="U197" s="13"/>
    </row>
    <row r="198" spans="1:21" x14ac:dyDescent="0.25">
      <c r="A198" s="4">
        <v>201809</v>
      </c>
      <c r="B198" s="4" t="s">
        <v>5</v>
      </c>
      <c r="C198" s="4" t="s">
        <v>6</v>
      </c>
      <c r="D198" s="4" t="s">
        <v>9</v>
      </c>
      <c r="E198" s="4">
        <v>71360</v>
      </c>
      <c r="F198" s="6">
        <v>1656772</v>
      </c>
      <c r="G198" s="5">
        <v>4277270</v>
      </c>
      <c r="H198" s="11">
        <f t="shared" si="6"/>
        <v>0.38734332880552313</v>
      </c>
      <c r="I198" s="11">
        <v>0.38919999999999999</v>
      </c>
      <c r="J198" s="7">
        <v>0.15539689362049103</v>
      </c>
      <c r="K198" s="7">
        <v>487.2</v>
      </c>
      <c r="L198" s="10">
        <v>0.99021305360497303</v>
      </c>
      <c r="M198" s="7">
        <v>75.053909301757813</v>
      </c>
      <c r="N198" s="7">
        <f t="shared" si="7"/>
        <v>75.053909301757813</v>
      </c>
      <c r="O198" s="7">
        <v>4.82E-2</v>
      </c>
      <c r="P198" s="7">
        <v>-1</v>
      </c>
      <c r="Q198" s="7">
        <v>-0.57999999999999996</v>
      </c>
      <c r="U198" s="13"/>
    </row>
    <row r="199" spans="1:21" x14ac:dyDescent="0.25">
      <c r="A199" s="4">
        <v>201808</v>
      </c>
      <c r="B199" s="4" t="s">
        <v>5</v>
      </c>
      <c r="C199" s="4" t="s">
        <v>6</v>
      </c>
      <c r="D199" s="4" t="s">
        <v>9</v>
      </c>
      <c r="E199" s="4">
        <v>71360</v>
      </c>
      <c r="F199" s="6">
        <v>2934448</v>
      </c>
      <c r="G199" s="5">
        <v>7318250</v>
      </c>
      <c r="H199" s="11">
        <f t="shared" si="6"/>
        <v>0.40097673624158781</v>
      </c>
      <c r="I199" s="11">
        <v>0.4027</v>
      </c>
      <c r="J199" s="7">
        <v>0.14780311286449432</v>
      </c>
      <c r="K199" s="7">
        <v>487.2</v>
      </c>
      <c r="L199" s="10">
        <v>0.98492826628072105</v>
      </c>
      <c r="M199" s="7">
        <v>112.74168395996094</v>
      </c>
      <c r="N199" s="7">
        <f t="shared" si="7"/>
        <v>112.74168395996094</v>
      </c>
      <c r="O199" s="7">
        <v>8.5300000000000001E-2</v>
      </c>
      <c r="P199" s="7">
        <v>-1</v>
      </c>
      <c r="Q199" s="7">
        <v>-0.57999999999999996</v>
      </c>
      <c r="U199" s="13"/>
    </row>
    <row r="200" spans="1:21" x14ac:dyDescent="0.25">
      <c r="A200" s="4">
        <v>201805</v>
      </c>
      <c r="B200" s="4" t="s">
        <v>5</v>
      </c>
      <c r="C200" s="4" t="s">
        <v>6</v>
      </c>
      <c r="D200" s="4" t="s">
        <v>9</v>
      </c>
      <c r="E200" s="4">
        <v>71360</v>
      </c>
      <c r="F200" s="6">
        <v>587621</v>
      </c>
      <c r="G200" s="5">
        <v>1381000</v>
      </c>
      <c r="H200" s="11">
        <f t="shared" si="6"/>
        <v>0.42550398262128891</v>
      </c>
      <c r="I200" s="11">
        <v>0.43819999999999998</v>
      </c>
      <c r="J200" s="7">
        <v>0.28573828935623169</v>
      </c>
      <c r="K200" s="7">
        <v>487.2</v>
      </c>
      <c r="L200" s="10">
        <v>0.91099793808039897</v>
      </c>
      <c r="M200" s="7">
        <v>125.66661834716797</v>
      </c>
      <c r="N200" s="7">
        <f t="shared" si="7"/>
        <v>125.66661834716797</v>
      </c>
      <c r="O200" s="7">
        <v>0.1178</v>
      </c>
      <c r="P200" s="7">
        <v>-1</v>
      </c>
      <c r="Q200" s="7">
        <v>-0.57999999999999996</v>
      </c>
      <c r="U200" s="13"/>
    </row>
    <row r="201" spans="1:21" x14ac:dyDescent="0.25">
      <c r="A201" s="4">
        <v>201804</v>
      </c>
      <c r="B201" s="4" t="s">
        <v>5</v>
      </c>
      <c r="C201" s="4" t="s">
        <v>6</v>
      </c>
      <c r="D201" s="4" t="s">
        <v>9</v>
      </c>
      <c r="E201" s="4">
        <v>71360</v>
      </c>
      <c r="F201" s="6">
        <v>397281</v>
      </c>
      <c r="G201" s="5">
        <v>990000</v>
      </c>
      <c r="H201" s="11">
        <f t="shared" si="6"/>
        <v>0.40129393939393937</v>
      </c>
      <c r="I201" s="11">
        <v>0.43709999999999999</v>
      </c>
      <c r="J201" s="7">
        <v>0.14684921503067017</v>
      </c>
      <c r="K201" s="7">
        <v>487.2</v>
      </c>
      <c r="L201" s="10">
        <v>0.80799409381558995</v>
      </c>
      <c r="M201" s="7">
        <v>123.26347351074219</v>
      </c>
      <c r="N201" s="7">
        <f t="shared" si="7"/>
        <v>123.26347351074219</v>
      </c>
      <c r="O201" s="7">
        <v>0.21940000000000001</v>
      </c>
      <c r="P201" s="7">
        <v>-1</v>
      </c>
      <c r="Q201" s="7">
        <v>-0.57999999999999996</v>
      </c>
      <c r="U201" s="13"/>
    </row>
    <row r="202" spans="1:21" x14ac:dyDescent="0.25">
      <c r="A202" s="4">
        <v>201803</v>
      </c>
      <c r="B202" s="4" t="s">
        <v>5</v>
      </c>
      <c r="C202" s="4" t="s">
        <v>6</v>
      </c>
      <c r="D202" s="4" t="s">
        <v>9</v>
      </c>
      <c r="E202" s="4">
        <v>71360</v>
      </c>
      <c r="F202" s="6">
        <v>221627</v>
      </c>
      <c r="G202" s="5">
        <v>625000</v>
      </c>
      <c r="H202" s="11">
        <f t="shared" si="6"/>
        <v>0.35460320000000001</v>
      </c>
      <c r="I202" s="11">
        <v>0.41760000000000003</v>
      </c>
      <c r="J202" s="7">
        <v>0.1322433203458786</v>
      </c>
      <c r="K202" s="7">
        <v>487.2</v>
      </c>
      <c r="L202" s="10">
        <v>0.71616870568922797</v>
      </c>
      <c r="M202" s="7">
        <v>111.96229553222656</v>
      </c>
      <c r="N202" s="7">
        <f t="shared" si="7"/>
        <v>111.96229553222656</v>
      </c>
      <c r="O202" s="7">
        <v>6.1800000000000001E-2</v>
      </c>
      <c r="P202" s="7">
        <v>-1</v>
      </c>
      <c r="Q202" s="7">
        <v>-0.57999999999999996</v>
      </c>
      <c r="U202" s="13"/>
    </row>
    <row r="203" spans="1:21" x14ac:dyDescent="0.25">
      <c r="A203" s="4">
        <v>201802</v>
      </c>
      <c r="B203" s="4" t="s">
        <v>5</v>
      </c>
      <c r="C203" s="4" t="s">
        <v>6</v>
      </c>
      <c r="D203" s="4" t="s">
        <v>9</v>
      </c>
      <c r="E203" s="4">
        <v>71360</v>
      </c>
      <c r="F203" s="6">
        <v>478559</v>
      </c>
      <c r="G203" s="5">
        <v>1218000</v>
      </c>
      <c r="H203" s="11">
        <f t="shared" si="6"/>
        <v>0.39290558292282429</v>
      </c>
      <c r="I203" s="11">
        <v>0.40920000000000001</v>
      </c>
      <c r="J203" s="7">
        <v>7.9047709703445435E-2</v>
      </c>
      <c r="K203" s="7">
        <v>487.2</v>
      </c>
      <c r="L203" s="10">
        <v>0.87948417307437798</v>
      </c>
      <c r="M203" s="7">
        <v>64.491371154785156</v>
      </c>
      <c r="N203" s="7">
        <f t="shared" si="7"/>
        <v>64.491371154785156</v>
      </c>
      <c r="O203" s="7">
        <v>7.8399999999999997E-2</v>
      </c>
      <c r="P203" s="7">
        <v>-1</v>
      </c>
      <c r="Q203" s="7">
        <v>-0.57999999999999996</v>
      </c>
      <c r="U203" s="13"/>
    </row>
    <row r="204" spans="1:21" x14ac:dyDescent="0.25">
      <c r="A204" s="4">
        <v>201801</v>
      </c>
      <c r="B204" s="4" t="s">
        <v>5</v>
      </c>
      <c r="C204" s="4" t="s">
        <v>6</v>
      </c>
      <c r="D204" s="4" t="s">
        <v>9</v>
      </c>
      <c r="E204" s="4">
        <v>71360</v>
      </c>
      <c r="F204" s="6">
        <v>1485773</v>
      </c>
      <c r="G204" s="5">
        <v>3415550</v>
      </c>
      <c r="H204" s="11">
        <f t="shared" si="6"/>
        <v>0.43500256181288521</v>
      </c>
      <c r="I204" s="11">
        <v>0.4415</v>
      </c>
      <c r="J204" s="7">
        <v>0.17787419259548187</v>
      </c>
      <c r="K204" s="7">
        <v>487.2</v>
      </c>
      <c r="L204" s="10">
        <v>0.91489724614496004</v>
      </c>
      <c r="M204" s="7">
        <v>92.426788330078125</v>
      </c>
      <c r="N204" s="7">
        <f t="shared" si="7"/>
        <v>92.426788330078125</v>
      </c>
      <c r="O204" s="7">
        <v>9.0499999999999997E-2</v>
      </c>
      <c r="P204" s="7">
        <v>-1</v>
      </c>
      <c r="Q204" s="7">
        <v>-0.57999999999999996</v>
      </c>
      <c r="U204" s="13"/>
    </row>
    <row r="205" spans="1:21" x14ac:dyDescent="0.25">
      <c r="A205" s="4">
        <v>201712</v>
      </c>
      <c r="B205" s="4" t="s">
        <v>5</v>
      </c>
      <c r="C205" s="4" t="s">
        <v>6</v>
      </c>
      <c r="D205" s="4" t="s">
        <v>9</v>
      </c>
      <c r="E205" s="4">
        <v>71360</v>
      </c>
      <c r="F205" s="6">
        <v>925674</v>
      </c>
      <c r="G205" s="5">
        <v>1998660</v>
      </c>
      <c r="H205" s="11">
        <f t="shared" si="6"/>
        <v>0.46314730869682685</v>
      </c>
      <c r="I205" s="11">
        <v>0.41210000000000002</v>
      </c>
      <c r="J205" s="7">
        <v>6.3967831432819366E-2</v>
      </c>
      <c r="K205" s="7">
        <v>483.3</v>
      </c>
      <c r="L205" s="10">
        <v>0.71167316700763605</v>
      </c>
      <c r="M205" s="7">
        <v>82.718254089355469</v>
      </c>
      <c r="N205" s="7">
        <f t="shared" si="7"/>
        <v>82.718254089355469</v>
      </c>
      <c r="O205" s="7">
        <v>5.4600000000000003E-2</v>
      </c>
      <c r="P205" s="7">
        <v>-0.77</v>
      </c>
      <c r="Q205" s="7">
        <v>-0.56999999999999995</v>
      </c>
      <c r="U205" s="13"/>
    </row>
    <row r="206" spans="1:21" x14ac:dyDescent="0.25">
      <c r="A206" s="4">
        <v>201711</v>
      </c>
      <c r="B206" s="4" t="s">
        <v>5</v>
      </c>
      <c r="C206" s="4" t="s">
        <v>6</v>
      </c>
      <c r="D206" s="4" t="s">
        <v>9</v>
      </c>
      <c r="E206" s="4">
        <v>71360</v>
      </c>
      <c r="F206" s="6">
        <v>1168988</v>
      </c>
      <c r="G206" s="5">
        <v>2666000</v>
      </c>
      <c r="H206" s="11">
        <f t="shared" si="6"/>
        <v>0.43848012003000753</v>
      </c>
      <c r="I206" s="11">
        <v>0.45469999999999999</v>
      </c>
      <c r="J206" s="7">
        <v>0.15569768846035004</v>
      </c>
      <c r="K206" s="7">
        <v>483.3</v>
      </c>
      <c r="L206" s="10">
        <v>0.84818617623733705</v>
      </c>
      <c r="M206" s="7">
        <v>92.596015930175781</v>
      </c>
      <c r="N206" s="7">
        <f t="shared" si="7"/>
        <v>92.596015930175781</v>
      </c>
      <c r="O206" s="7">
        <v>6.93E-2</v>
      </c>
      <c r="P206" s="7">
        <v>-0.77</v>
      </c>
      <c r="Q206" s="7">
        <v>-0.56999999999999995</v>
      </c>
      <c r="U206" s="13"/>
    </row>
    <row r="207" spans="1:21" x14ac:dyDescent="0.25">
      <c r="A207" s="4">
        <v>201710</v>
      </c>
      <c r="B207" s="4" t="s">
        <v>5</v>
      </c>
      <c r="C207" s="4" t="s">
        <v>6</v>
      </c>
      <c r="D207" s="4" t="s">
        <v>9</v>
      </c>
      <c r="E207" s="4">
        <v>71360</v>
      </c>
      <c r="F207" s="6">
        <v>65857</v>
      </c>
      <c r="G207" s="5">
        <v>192000</v>
      </c>
      <c r="H207" s="11">
        <f t="shared" si="6"/>
        <v>0.34300520833333331</v>
      </c>
      <c r="I207" s="11">
        <v>0.39419999999999999</v>
      </c>
      <c r="J207" s="7">
        <v>0.12174336612224579</v>
      </c>
      <c r="K207" s="7">
        <v>483.3</v>
      </c>
      <c r="L207" s="10">
        <v>0.66289205620646596</v>
      </c>
      <c r="M207" s="7">
        <v>91.461570739746094</v>
      </c>
      <c r="N207" s="7">
        <f t="shared" si="7"/>
        <v>91.461570739746094</v>
      </c>
      <c r="O207" s="7">
        <v>5.2499999999999998E-2</v>
      </c>
      <c r="P207" s="7">
        <v>-0.77</v>
      </c>
      <c r="Q207" s="7">
        <v>-0.56999999999999995</v>
      </c>
      <c r="U207" s="13"/>
    </row>
    <row r="208" spans="1:21" x14ac:dyDescent="0.25">
      <c r="A208" s="4">
        <v>201709</v>
      </c>
      <c r="B208" s="4" t="s">
        <v>5</v>
      </c>
      <c r="C208" s="4" t="s">
        <v>6</v>
      </c>
      <c r="D208" s="4" t="s">
        <v>9</v>
      </c>
      <c r="E208" s="4">
        <v>71360</v>
      </c>
      <c r="F208" s="6">
        <v>111627</v>
      </c>
      <c r="G208" s="5">
        <v>240000</v>
      </c>
      <c r="H208" s="11">
        <f t="shared" si="6"/>
        <v>0.46511249999999998</v>
      </c>
      <c r="I208" s="11">
        <v>0.46510000000000001</v>
      </c>
      <c r="J208" s="7">
        <v>0.28461575508117676</v>
      </c>
      <c r="K208" s="7">
        <v>483.3</v>
      </c>
      <c r="L208" s="10">
        <v>1</v>
      </c>
      <c r="M208" s="7">
        <v>115.53444671630859</v>
      </c>
      <c r="N208" s="7">
        <f t="shared" si="7"/>
        <v>115.53444671630859</v>
      </c>
      <c r="O208" s="7">
        <v>9.4000000000000004E-3</v>
      </c>
      <c r="P208" s="7">
        <v>-0.77</v>
      </c>
      <c r="Q208" s="7">
        <v>-0.56999999999999995</v>
      </c>
      <c r="U208" s="13"/>
    </row>
    <row r="209" spans="1:21" x14ac:dyDescent="0.25">
      <c r="A209" s="4">
        <v>201708</v>
      </c>
      <c r="B209" s="4" t="s">
        <v>5</v>
      </c>
      <c r="C209" s="4" t="s">
        <v>6</v>
      </c>
      <c r="D209" s="4" t="s">
        <v>9</v>
      </c>
      <c r="E209" s="4">
        <v>71360</v>
      </c>
      <c r="F209" s="6">
        <v>380649</v>
      </c>
      <c r="G209" s="5">
        <v>800000</v>
      </c>
      <c r="H209" s="11">
        <f t="shared" si="6"/>
        <v>0.47581125000000002</v>
      </c>
      <c r="I209" s="11">
        <v>0.5393</v>
      </c>
      <c r="J209" s="7">
        <v>0.18158513307571411</v>
      </c>
      <c r="K209" s="7">
        <v>483.3</v>
      </c>
      <c r="L209" s="10">
        <v>0.75737027773964205</v>
      </c>
      <c r="M209" s="7">
        <v>138.5316162109375</v>
      </c>
      <c r="N209" s="7">
        <f t="shared" si="7"/>
        <v>138.5316162109375</v>
      </c>
      <c r="O209" s="7">
        <v>1.7399999999999999E-2</v>
      </c>
      <c r="P209" s="7">
        <v>-0.77</v>
      </c>
      <c r="Q209" s="7">
        <v>-0.56999999999999995</v>
      </c>
      <c r="U209" s="13"/>
    </row>
    <row r="210" spans="1:21" x14ac:dyDescent="0.25">
      <c r="A210" s="4">
        <v>201707</v>
      </c>
      <c r="B210" s="4" t="s">
        <v>5</v>
      </c>
      <c r="C210" s="4" t="s">
        <v>6</v>
      </c>
      <c r="D210" s="4" t="s">
        <v>9</v>
      </c>
      <c r="E210" s="4">
        <v>71360</v>
      </c>
      <c r="F210" s="6">
        <v>919552</v>
      </c>
      <c r="G210" s="5">
        <v>1705000</v>
      </c>
      <c r="H210" s="11">
        <f t="shared" si="6"/>
        <v>0.53932668621700874</v>
      </c>
      <c r="I210" s="11">
        <v>0.56610000000000005</v>
      </c>
      <c r="J210" s="7">
        <v>0.14306151866912842</v>
      </c>
      <c r="K210" s="7">
        <v>483.3</v>
      </c>
      <c r="L210" s="10">
        <v>0.88427219234212595</v>
      </c>
      <c r="M210" s="7">
        <v>102.81346130371094</v>
      </c>
      <c r="N210" s="7">
        <f t="shared" si="7"/>
        <v>102.81346130371094</v>
      </c>
      <c r="O210" s="7">
        <v>2.87E-2</v>
      </c>
      <c r="P210" s="7">
        <v>-0.77</v>
      </c>
      <c r="Q210" s="7">
        <v>-0.56999999999999995</v>
      </c>
      <c r="U210" s="13"/>
    </row>
    <row r="211" spans="1:21" x14ac:dyDescent="0.25">
      <c r="A211" s="4">
        <v>201706</v>
      </c>
      <c r="B211" s="4" t="s">
        <v>5</v>
      </c>
      <c r="C211" s="4" t="s">
        <v>6</v>
      </c>
      <c r="D211" s="4" t="s">
        <v>9</v>
      </c>
      <c r="E211" s="4">
        <v>71360</v>
      </c>
      <c r="F211" s="6">
        <v>836864</v>
      </c>
      <c r="G211" s="5">
        <v>1558000</v>
      </c>
      <c r="H211" s="11">
        <f t="shared" si="6"/>
        <v>0.53713992297817714</v>
      </c>
      <c r="I211" s="11">
        <v>0.54010000000000002</v>
      </c>
      <c r="J211" s="7">
        <v>0.2270381897687912</v>
      </c>
      <c r="K211" s="7">
        <v>483.3</v>
      </c>
      <c r="L211" s="10">
        <v>0.980599258748027</v>
      </c>
      <c r="M211" s="7">
        <v>126.78901672363281</v>
      </c>
      <c r="N211" s="7">
        <f t="shared" si="7"/>
        <v>126.78901672363281</v>
      </c>
      <c r="O211" s="22">
        <v>2.5899999999999999E-2</v>
      </c>
      <c r="P211" s="7">
        <v>-0.77</v>
      </c>
      <c r="Q211" s="7">
        <v>-0.56999999999999995</v>
      </c>
      <c r="U211" s="13"/>
    </row>
    <row r="212" spans="1:21" x14ac:dyDescent="0.25">
      <c r="A212" s="4">
        <v>201705</v>
      </c>
      <c r="B212" s="4" t="s">
        <v>5</v>
      </c>
      <c r="C212" s="4" t="s">
        <v>6</v>
      </c>
      <c r="D212" s="4" t="s">
        <v>9</v>
      </c>
      <c r="E212" s="4">
        <v>71360</v>
      </c>
      <c r="F212" s="6">
        <v>1205656</v>
      </c>
      <c r="G212" s="5">
        <v>2060000</v>
      </c>
      <c r="H212" s="11">
        <f t="shared" si="6"/>
        <v>0.58526990291262138</v>
      </c>
      <c r="I212" s="11">
        <v>0.59240000000000004</v>
      </c>
      <c r="J212" s="7">
        <v>9.1389112174510956E-2</v>
      </c>
      <c r="K212" s="7">
        <v>483.3</v>
      </c>
      <c r="L212" s="10">
        <v>0.97852872022082404</v>
      </c>
      <c r="M212" s="7">
        <v>102.57996368408203</v>
      </c>
      <c r="N212" s="7">
        <f t="shared" si="7"/>
        <v>102.57996368408203</v>
      </c>
      <c r="O212" s="7">
        <v>5.1700000000000003E-2</v>
      </c>
      <c r="P212" s="7">
        <v>-0.77</v>
      </c>
      <c r="Q212" s="7">
        <v>-0.56999999999999995</v>
      </c>
      <c r="U212" s="13"/>
    </row>
    <row r="213" spans="1:21" x14ac:dyDescent="0.25">
      <c r="A213" s="4">
        <v>201704</v>
      </c>
      <c r="B213" s="4" t="s">
        <v>5</v>
      </c>
      <c r="C213" s="4" t="s">
        <v>6</v>
      </c>
      <c r="D213" s="4" t="s">
        <v>9</v>
      </c>
      <c r="E213" s="4">
        <v>71360</v>
      </c>
      <c r="F213" s="6">
        <v>517062</v>
      </c>
      <c r="G213" s="5">
        <v>895700</v>
      </c>
      <c r="H213" s="11">
        <f t="shared" si="6"/>
        <v>0.57727140783744557</v>
      </c>
      <c r="I213" s="11">
        <v>0.63180000000000003</v>
      </c>
      <c r="J213" s="7">
        <v>0.14710518717765808</v>
      </c>
      <c r="K213" s="7">
        <v>483.3</v>
      </c>
      <c r="L213" s="10">
        <v>0.74515348032857698</v>
      </c>
      <c r="M213" s="7">
        <v>119.45992279052734</v>
      </c>
      <c r="N213" s="7">
        <f t="shared" si="7"/>
        <v>119.45992279052734</v>
      </c>
      <c r="O213" s="7">
        <v>1.37E-2</v>
      </c>
      <c r="P213" s="7">
        <v>-0.77</v>
      </c>
      <c r="Q213" s="7">
        <v>-0.56999999999999995</v>
      </c>
      <c r="U213" s="13"/>
    </row>
    <row r="214" spans="1:21" x14ac:dyDescent="0.25">
      <c r="A214" s="4">
        <v>201703</v>
      </c>
      <c r="B214" s="4" t="s">
        <v>5</v>
      </c>
      <c r="C214" s="4" t="s">
        <v>6</v>
      </c>
      <c r="D214" s="4" t="s">
        <v>9</v>
      </c>
      <c r="E214" s="4">
        <v>71360</v>
      </c>
      <c r="F214" s="6">
        <v>9623067</v>
      </c>
      <c r="G214" s="5">
        <v>16779400</v>
      </c>
      <c r="H214" s="11">
        <f t="shared" si="6"/>
        <v>0.57350483330750801</v>
      </c>
      <c r="I214" s="11">
        <v>0.57809999999999995</v>
      </c>
      <c r="J214" s="7">
        <v>0.14420303702354431</v>
      </c>
      <c r="K214" s="7">
        <v>483.3</v>
      </c>
      <c r="L214" s="10">
        <v>0.97839036131054802</v>
      </c>
      <c r="M214" s="7">
        <v>96.635879516601563</v>
      </c>
      <c r="N214" s="7">
        <f t="shared" si="7"/>
        <v>96.635879516601563</v>
      </c>
      <c r="O214" s="7">
        <v>0.35670000000000002</v>
      </c>
      <c r="P214" s="7">
        <v>-0.77</v>
      </c>
      <c r="Q214" s="7">
        <v>-0.56999999999999995</v>
      </c>
      <c r="U214" s="13"/>
    </row>
    <row r="215" spans="1:21" x14ac:dyDescent="0.25">
      <c r="A215" s="4">
        <v>201702</v>
      </c>
      <c r="B215" s="4" t="s">
        <v>5</v>
      </c>
      <c r="C215" s="4" t="s">
        <v>6</v>
      </c>
      <c r="D215" s="4" t="s">
        <v>9</v>
      </c>
      <c r="E215" s="4">
        <v>71360</v>
      </c>
      <c r="F215" s="6">
        <v>3374535</v>
      </c>
      <c r="G215" s="5">
        <v>4921490</v>
      </c>
      <c r="H215" s="11">
        <f t="shared" si="6"/>
        <v>0.68567344442435119</v>
      </c>
      <c r="I215" s="11">
        <v>0.69379999999999997</v>
      </c>
      <c r="J215" s="7">
        <v>0.16521643102169037</v>
      </c>
      <c r="K215" s="7">
        <v>483.3</v>
      </c>
      <c r="L215" s="10">
        <v>0.95135898155885301</v>
      </c>
      <c r="M215" s="7">
        <v>114.20635986328125</v>
      </c>
      <c r="N215" s="7">
        <f t="shared" si="7"/>
        <v>114.20635986328125</v>
      </c>
      <c r="O215" s="7">
        <v>0.12520000000000001</v>
      </c>
      <c r="P215" s="7">
        <v>-0.77</v>
      </c>
      <c r="Q215" s="7">
        <v>-0.56999999999999995</v>
      </c>
      <c r="U215" s="13"/>
    </row>
    <row r="216" spans="1:21" x14ac:dyDescent="0.25">
      <c r="A216" s="4">
        <v>201701</v>
      </c>
      <c r="B216" s="4" t="s">
        <v>5</v>
      </c>
      <c r="C216" s="4" t="s">
        <v>6</v>
      </c>
      <c r="D216" s="4" t="s">
        <v>9</v>
      </c>
      <c r="E216" s="4">
        <v>71360</v>
      </c>
      <c r="F216" s="6">
        <v>5654336</v>
      </c>
      <c r="G216" s="5">
        <v>9672060</v>
      </c>
      <c r="H216" s="11">
        <f t="shared" si="6"/>
        <v>0.58460514099374905</v>
      </c>
      <c r="I216" s="11">
        <v>0.58720000000000006</v>
      </c>
      <c r="J216" s="7">
        <v>0.18233387172222137</v>
      </c>
      <c r="K216" s="7">
        <v>483.3</v>
      </c>
      <c r="L216" s="10">
        <v>0.94784274657575696</v>
      </c>
      <c r="M216" s="7">
        <v>105.20123291015625</v>
      </c>
      <c r="N216" s="7">
        <f t="shared" si="7"/>
        <v>105.20123291015625</v>
      </c>
      <c r="O216" s="7">
        <v>0.17299999999999999</v>
      </c>
      <c r="P216" s="7">
        <v>-0.77</v>
      </c>
      <c r="Q216" s="7">
        <v>-0.56999999999999995</v>
      </c>
      <c r="U216" s="13"/>
    </row>
    <row r="217" spans="1:21" x14ac:dyDescent="0.25">
      <c r="A217" s="4">
        <v>201612</v>
      </c>
      <c r="B217" s="4" t="s">
        <v>5</v>
      </c>
      <c r="C217" s="4" t="s">
        <v>6</v>
      </c>
      <c r="D217" s="4" t="s">
        <v>9</v>
      </c>
      <c r="E217" s="4">
        <v>71360</v>
      </c>
      <c r="F217" s="6">
        <v>29196570</v>
      </c>
      <c r="G217" s="5">
        <v>45956212</v>
      </c>
      <c r="H217" s="11">
        <f t="shared" si="6"/>
        <v>0.63531280602500484</v>
      </c>
      <c r="I217" s="11">
        <v>0.63570000000000004</v>
      </c>
      <c r="J217" s="7">
        <v>0.16102194786071777</v>
      </c>
      <c r="K217" s="7">
        <v>452.2</v>
      </c>
      <c r="L217" s="10">
        <v>0.99745901627303002</v>
      </c>
      <c r="M217" s="7">
        <v>102.18046569824219</v>
      </c>
      <c r="N217" s="7">
        <f t="shared" si="7"/>
        <v>102.18046569824219</v>
      </c>
      <c r="O217" s="7">
        <v>0.3926</v>
      </c>
      <c r="P217" s="7">
        <v>-0.96</v>
      </c>
      <c r="Q217" s="7">
        <v>-0.45</v>
      </c>
      <c r="U217" s="13"/>
    </row>
    <row r="218" spans="1:21" x14ac:dyDescent="0.25">
      <c r="A218" s="4">
        <v>201611</v>
      </c>
      <c r="B218" s="4" t="s">
        <v>5</v>
      </c>
      <c r="C218" s="4" t="s">
        <v>6</v>
      </c>
      <c r="D218" s="4" t="s">
        <v>9</v>
      </c>
      <c r="E218" s="4">
        <v>71360</v>
      </c>
      <c r="F218" s="6">
        <v>41308666</v>
      </c>
      <c r="G218" s="5">
        <v>64724041</v>
      </c>
      <c r="H218" s="11">
        <f t="shared" si="6"/>
        <v>0.63822754824594463</v>
      </c>
      <c r="I218" s="11">
        <v>0.63859999999999995</v>
      </c>
      <c r="J218" s="7">
        <v>0.1230706125497818</v>
      </c>
      <c r="K218" s="7">
        <v>452.2</v>
      </c>
      <c r="L218" s="10">
        <v>0.99806498161312096</v>
      </c>
      <c r="M218" s="7">
        <v>82.918754577636719</v>
      </c>
      <c r="N218" s="7">
        <f t="shared" si="7"/>
        <v>82.918754577636719</v>
      </c>
      <c r="O218" s="7">
        <v>0.42549999999999999</v>
      </c>
      <c r="P218" s="7">
        <v>-0.96</v>
      </c>
      <c r="Q218" s="7">
        <v>-0.45</v>
      </c>
      <c r="U218" s="13"/>
    </row>
    <row r="219" spans="1:21" x14ac:dyDescent="0.25">
      <c r="A219" s="4">
        <v>201610</v>
      </c>
      <c r="B219" s="4" t="s">
        <v>5</v>
      </c>
      <c r="C219" s="4" t="s">
        <v>6</v>
      </c>
      <c r="D219" s="4" t="s">
        <v>9</v>
      </c>
      <c r="E219" s="4">
        <v>71360</v>
      </c>
      <c r="F219" s="6">
        <v>28337788</v>
      </c>
      <c r="G219" s="5">
        <v>41773479</v>
      </c>
      <c r="H219" s="11">
        <f t="shared" si="6"/>
        <v>0.67836791855425782</v>
      </c>
      <c r="I219" s="11">
        <v>0.6784</v>
      </c>
      <c r="J219" s="7">
        <v>0.16687935590744019</v>
      </c>
      <c r="K219" s="7">
        <v>452.2</v>
      </c>
      <c r="L219" s="10">
        <v>1</v>
      </c>
      <c r="M219" s="7">
        <v>85.747787475585938</v>
      </c>
      <c r="N219" s="7">
        <f t="shared" si="7"/>
        <v>85.747787475585938</v>
      </c>
      <c r="O219" s="7">
        <v>0.34439999999999998</v>
      </c>
      <c r="P219" s="7">
        <v>-0.96</v>
      </c>
      <c r="Q219" s="7">
        <v>-0.45</v>
      </c>
      <c r="U219" s="13"/>
    </row>
    <row r="220" spans="1:21" x14ac:dyDescent="0.25">
      <c r="A220" s="4">
        <v>201609</v>
      </c>
      <c r="B220" s="4" t="s">
        <v>5</v>
      </c>
      <c r="C220" s="4" t="s">
        <v>6</v>
      </c>
      <c r="D220" s="4" t="s">
        <v>9</v>
      </c>
      <c r="E220" s="4">
        <v>71360</v>
      </c>
      <c r="F220" s="6">
        <v>6090058</v>
      </c>
      <c r="G220" s="5">
        <v>6675227</v>
      </c>
      <c r="H220" s="11">
        <f t="shared" si="6"/>
        <v>0.91233721340113227</v>
      </c>
      <c r="I220" s="11">
        <v>0.9123</v>
      </c>
      <c r="J220" s="7">
        <v>0.17644686996936798</v>
      </c>
      <c r="K220" s="7">
        <v>452.2</v>
      </c>
      <c r="L220" s="10">
        <v>1</v>
      </c>
      <c r="M220" s="7">
        <v>104.54522705078125</v>
      </c>
      <c r="N220" s="7">
        <f t="shared" si="7"/>
        <v>104.54522705078125</v>
      </c>
      <c r="O220" s="7">
        <v>0.15260000000000001</v>
      </c>
      <c r="P220" s="7">
        <v>-0.96</v>
      </c>
      <c r="Q220" s="7">
        <v>-0.45</v>
      </c>
      <c r="U220" s="13"/>
    </row>
    <row r="221" spans="1:21" x14ac:dyDescent="0.25">
      <c r="A221" s="4">
        <v>201608</v>
      </c>
      <c r="B221" s="4" t="s">
        <v>5</v>
      </c>
      <c r="C221" s="4" t="s">
        <v>6</v>
      </c>
      <c r="D221" s="4" t="s">
        <v>9</v>
      </c>
      <c r="E221" s="4">
        <v>71360</v>
      </c>
      <c r="F221" s="6">
        <v>642390</v>
      </c>
      <c r="G221" s="5">
        <v>490000</v>
      </c>
      <c r="H221" s="11">
        <f t="shared" si="6"/>
        <v>1.3109999999999999</v>
      </c>
      <c r="I221" s="11">
        <v>1.3109999999999999</v>
      </c>
      <c r="J221" s="7">
        <v>0.12921231985092163</v>
      </c>
      <c r="K221" s="7">
        <v>452.2</v>
      </c>
      <c r="L221" s="10">
        <v>1</v>
      </c>
      <c r="M221" s="7">
        <v>98.738487243652344</v>
      </c>
      <c r="N221" s="7">
        <f t="shared" si="7"/>
        <v>98.738487243652344</v>
      </c>
      <c r="O221" s="7">
        <v>1.6400000000000001E-2</v>
      </c>
      <c r="P221" s="7">
        <v>-0.96</v>
      </c>
      <c r="Q221" s="7">
        <v>-0.45</v>
      </c>
      <c r="U221" s="13"/>
    </row>
    <row r="222" spans="1:21" x14ac:dyDescent="0.25">
      <c r="A222" s="4">
        <v>201607</v>
      </c>
      <c r="B222" s="4" t="s">
        <v>5</v>
      </c>
      <c r="C222" s="4" t="s">
        <v>6</v>
      </c>
      <c r="D222" s="4" t="s">
        <v>9</v>
      </c>
      <c r="E222" s="4">
        <v>71360</v>
      </c>
      <c r="F222" s="6">
        <v>385735</v>
      </c>
      <c r="G222" s="5">
        <v>288000</v>
      </c>
      <c r="H222" s="11">
        <f t="shared" si="6"/>
        <v>1.3393576388888888</v>
      </c>
      <c r="I222" s="11">
        <v>1.3393999999999999</v>
      </c>
      <c r="J222" s="7">
        <v>0.27500858902931213</v>
      </c>
      <c r="K222" s="7">
        <v>452.2</v>
      </c>
      <c r="L222" s="10">
        <v>1</v>
      </c>
      <c r="M222" s="7">
        <v>114.61045074462891</v>
      </c>
      <c r="N222" s="7">
        <f t="shared" si="7"/>
        <v>114.61045074462891</v>
      </c>
      <c r="O222" s="7">
        <v>8.8999999999999999E-3</v>
      </c>
      <c r="P222" s="7">
        <v>-0.96</v>
      </c>
      <c r="Q222" s="7">
        <v>-0.45</v>
      </c>
      <c r="U222" s="13"/>
    </row>
    <row r="223" spans="1:21" x14ac:dyDescent="0.25">
      <c r="A223" s="4">
        <v>201606</v>
      </c>
      <c r="B223" s="4" t="s">
        <v>5</v>
      </c>
      <c r="C223" s="4" t="s">
        <v>6</v>
      </c>
      <c r="D223" s="4" t="s">
        <v>9</v>
      </c>
      <c r="E223" s="4">
        <v>71360</v>
      </c>
      <c r="F223" s="6">
        <v>1733108</v>
      </c>
      <c r="G223" s="5">
        <v>1270000</v>
      </c>
      <c r="H223" s="11">
        <f t="shared" si="6"/>
        <v>1.3646519685039371</v>
      </c>
      <c r="I223" s="11">
        <v>1.3647</v>
      </c>
      <c r="J223" s="7">
        <v>0.10855713486671448</v>
      </c>
      <c r="K223" s="7">
        <v>452.2</v>
      </c>
      <c r="L223" s="10">
        <v>1</v>
      </c>
      <c r="M223" s="7">
        <v>90.168128967285156</v>
      </c>
      <c r="N223" s="7">
        <f t="shared" si="7"/>
        <v>90.168128967285156</v>
      </c>
      <c r="O223" s="7">
        <v>4.5199999999999997E-2</v>
      </c>
      <c r="P223" s="7">
        <v>-0.96</v>
      </c>
      <c r="Q223" s="7">
        <v>-0.45</v>
      </c>
      <c r="U223" s="13"/>
    </row>
    <row r="224" spans="1:21" x14ac:dyDescent="0.25">
      <c r="A224" s="4">
        <v>201605</v>
      </c>
      <c r="B224" s="4" t="s">
        <v>5</v>
      </c>
      <c r="C224" s="4" t="s">
        <v>6</v>
      </c>
      <c r="D224" s="4" t="s">
        <v>9</v>
      </c>
      <c r="E224" s="4">
        <v>71360</v>
      </c>
      <c r="F224" s="6">
        <v>2553554</v>
      </c>
      <c r="G224" s="5">
        <v>2212000</v>
      </c>
      <c r="H224" s="11">
        <f t="shared" si="6"/>
        <v>1.1544095840867992</v>
      </c>
      <c r="I224" s="11">
        <v>1.1544000000000001</v>
      </c>
      <c r="J224" s="7">
        <v>8.1941090524196625E-2</v>
      </c>
      <c r="K224" s="7">
        <v>452.2</v>
      </c>
      <c r="L224" s="10">
        <v>1</v>
      </c>
      <c r="M224" s="7">
        <v>88.332420349121094</v>
      </c>
      <c r="N224" s="7">
        <f t="shared" si="7"/>
        <v>88.332420349121094</v>
      </c>
      <c r="O224" s="7">
        <v>4.8000000000000001E-2</v>
      </c>
      <c r="P224" s="7">
        <v>-0.96</v>
      </c>
      <c r="Q224" s="7">
        <v>-0.45</v>
      </c>
      <c r="U224" s="13"/>
    </row>
    <row r="225" spans="1:21" x14ac:dyDescent="0.25">
      <c r="A225" s="4">
        <v>201603</v>
      </c>
      <c r="B225" s="4" t="s">
        <v>5</v>
      </c>
      <c r="C225" s="4" t="s">
        <v>6</v>
      </c>
      <c r="D225" s="4" t="s">
        <v>9</v>
      </c>
      <c r="E225" s="4">
        <v>71360</v>
      </c>
      <c r="F225" s="6">
        <v>71836</v>
      </c>
      <c r="G225" s="5">
        <v>70000</v>
      </c>
      <c r="H225" s="11">
        <f t="shared" si="6"/>
        <v>1.0262285714285715</v>
      </c>
      <c r="I225" s="11">
        <v>1.0262</v>
      </c>
      <c r="J225" s="7">
        <v>0.15390883386135101</v>
      </c>
      <c r="K225" s="7">
        <v>452.2</v>
      </c>
      <c r="L225" s="10">
        <v>1</v>
      </c>
      <c r="M225" s="7">
        <v>109.72029113769531</v>
      </c>
      <c r="N225" s="7">
        <f t="shared" si="7"/>
        <v>109.72029113769531</v>
      </c>
      <c r="O225" s="7">
        <v>1.4E-3</v>
      </c>
      <c r="P225" s="7">
        <v>-0.96</v>
      </c>
      <c r="Q225" s="7">
        <v>-0.45</v>
      </c>
      <c r="U225" s="13"/>
    </row>
    <row r="226" spans="1:21" x14ac:dyDescent="0.25">
      <c r="A226" s="4">
        <v>201602</v>
      </c>
      <c r="B226" s="4" t="s">
        <v>5</v>
      </c>
      <c r="C226" s="4" t="s">
        <v>6</v>
      </c>
      <c r="D226" s="4" t="s">
        <v>9</v>
      </c>
      <c r="E226" s="4">
        <v>71360</v>
      </c>
      <c r="F226" s="6">
        <v>865621</v>
      </c>
      <c r="G226" s="5">
        <v>669750</v>
      </c>
      <c r="H226" s="11">
        <f t="shared" si="6"/>
        <v>1.2924539007092199</v>
      </c>
      <c r="I226" s="11">
        <v>1.2925</v>
      </c>
      <c r="J226" s="7">
        <v>8.3178393542766571E-2</v>
      </c>
      <c r="K226" s="7">
        <v>452.2</v>
      </c>
      <c r="L226" s="10">
        <v>1</v>
      </c>
      <c r="M226" s="7">
        <v>103.74964904785156</v>
      </c>
      <c r="N226" s="7">
        <f t="shared" si="7"/>
        <v>103.74964904785156</v>
      </c>
      <c r="O226" s="7">
        <v>3.6400000000000002E-2</v>
      </c>
      <c r="P226" s="7">
        <v>-0.96</v>
      </c>
      <c r="Q226" s="7">
        <v>-0.45</v>
      </c>
      <c r="U226" s="13"/>
    </row>
    <row r="227" spans="1:21" x14ac:dyDescent="0.25">
      <c r="A227" s="4">
        <v>201601</v>
      </c>
      <c r="B227" s="4" t="s">
        <v>5</v>
      </c>
      <c r="C227" s="4" t="s">
        <v>6</v>
      </c>
      <c r="D227" s="4" t="s">
        <v>9</v>
      </c>
      <c r="E227" s="4">
        <v>71360</v>
      </c>
      <c r="F227" s="6">
        <v>3607369</v>
      </c>
      <c r="G227" s="5">
        <v>2859800</v>
      </c>
      <c r="H227" s="11">
        <f t="shared" si="6"/>
        <v>1.261406042380586</v>
      </c>
      <c r="I227" s="11">
        <v>1.2614000000000001</v>
      </c>
      <c r="J227" s="7">
        <v>0.22246940433979034</v>
      </c>
      <c r="K227" s="7">
        <v>452.2</v>
      </c>
      <c r="L227" s="10">
        <v>1</v>
      </c>
      <c r="M227" s="7">
        <v>118.21114349365234</v>
      </c>
      <c r="N227" s="7">
        <f t="shared" si="7"/>
        <v>118.21114349365234</v>
      </c>
      <c r="O227" s="7">
        <v>0.17810000000000001</v>
      </c>
      <c r="P227" s="7">
        <v>-0.96</v>
      </c>
      <c r="Q227" s="7">
        <v>-0.45</v>
      </c>
      <c r="U227" s="13"/>
    </row>
    <row r="228" spans="1:21" x14ac:dyDescent="0.25">
      <c r="A228" s="4">
        <v>201512</v>
      </c>
      <c r="B228" s="4" t="s">
        <v>5</v>
      </c>
      <c r="C228" s="4" t="s">
        <v>6</v>
      </c>
      <c r="D228" s="4" t="s">
        <v>9</v>
      </c>
      <c r="E228" s="4">
        <v>71360</v>
      </c>
      <c r="F228" s="6">
        <v>13355279</v>
      </c>
      <c r="G228" s="5">
        <v>10257750</v>
      </c>
      <c r="H228" s="11">
        <f t="shared" si="6"/>
        <v>1.3019696327167263</v>
      </c>
      <c r="I228" s="11">
        <v>1.9</v>
      </c>
      <c r="J228" s="7">
        <v>0.26559117436408997</v>
      </c>
      <c r="K228" s="7">
        <v>467.5</v>
      </c>
      <c r="L228" s="10">
        <v>0.99999857734361297</v>
      </c>
      <c r="M228" s="7">
        <v>148.23687744140625</v>
      </c>
      <c r="N228" s="7">
        <f t="shared" si="7"/>
        <v>148.23687744140625</v>
      </c>
      <c r="O228" s="7">
        <v>0.3286</v>
      </c>
      <c r="P228" s="7">
        <v>-0.95</v>
      </c>
      <c r="Q228" s="7">
        <v>-0.42</v>
      </c>
      <c r="U228" s="13"/>
    </row>
    <row r="229" spans="1:21" x14ac:dyDescent="0.25">
      <c r="A229" s="4">
        <v>201511</v>
      </c>
      <c r="B229" s="4" t="s">
        <v>5</v>
      </c>
      <c r="C229" s="4" t="s">
        <v>6</v>
      </c>
      <c r="D229" s="4" t="s">
        <v>9</v>
      </c>
      <c r="E229" s="4">
        <v>71360</v>
      </c>
      <c r="F229" s="6">
        <v>28976980</v>
      </c>
      <c r="G229" s="5">
        <v>25175000</v>
      </c>
      <c r="H229" s="11">
        <f t="shared" si="6"/>
        <v>1.1510220456802382</v>
      </c>
      <c r="I229" s="11">
        <v>1.151</v>
      </c>
      <c r="J229" s="7">
        <v>0.21461187303066254</v>
      </c>
      <c r="K229" s="7">
        <v>467.5</v>
      </c>
      <c r="L229" s="10">
        <v>0.99983396471826103</v>
      </c>
      <c r="M229" s="7">
        <v>150.71588134765625</v>
      </c>
      <c r="N229" s="7">
        <f t="shared" si="7"/>
        <v>150.71588134765625</v>
      </c>
      <c r="O229" s="7">
        <v>0.4572</v>
      </c>
      <c r="P229" s="7">
        <v>-0.95</v>
      </c>
      <c r="Q229" s="7">
        <v>-0.42</v>
      </c>
      <c r="U229" s="13"/>
    </row>
    <row r="230" spans="1:21" x14ac:dyDescent="0.25">
      <c r="A230" s="4">
        <v>201510</v>
      </c>
      <c r="B230" s="4" t="s">
        <v>5</v>
      </c>
      <c r="C230" s="4" t="s">
        <v>6</v>
      </c>
      <c r="D230" s="4" t="s">
        <v>9</v>
      </c>
      <c r="E230" s="4">
        <v>71360</v>
      </c>
      <c r="F230" s="6">
        <v>38012290</v>
      </c>
      <c r="G230" s="5">
        <v>33942868</v>
      </c>
      <c r="H230" s="11">
        <f t="shared" si="6"/>
        <v>1.1198903404391167</v>
      </c>
      <c r="I230" s="11">
        <v>1.1198999999999999</v>
      </c>
      <c r="J230" s="7">
        <v>8.5154697299003601E-2</v>
      </c>
      <c r="K230" s="7">
        <v>467.5</v>
      </c>
      <c r="L230" s="10">
        <v>1</v>
      </c>
      <c r="M230" s="7">
        <v>91.931884765625</v>
      </c>
      <c r="N230" s="7">
        <f t="shared" si="7"/>
        <v>91.931884765625</v>
      </c>
      <c r="O230" s="7">
        <v>0.42670000000000002</v>
      </c>
      <c r="P230" s="7">
        <v>-0.95</v>
      </c>
      <c r="Q230" s="7">
        <v>-0.42</v>
      </c>
      <c r="U230" s="13"/>
    </row>
    <row r="231" spans="1:21" x14ac:dyDescent="0.25">
      <c r="A231" s="4">
        <v>201509</v>
      </c>
      <c r="B231" s="4" t="s">
        <v>5</v>
      </c>
      <c r="C231" s="4" t="s">
        <v>6</v>
      </c>
      <c r="D231" s="4" t="s">
        <v>9</v>
      </c>
      <c r="E231" s="4">
        <v>71360</v>
      </c>
      <c r="F231" s="6">
        <v>12397831</v>
      </c>
      <c r="G231" s="5">
        <v>11977000</v>
      </c>
      <c r="H231" s="11">
        <f t="shared" si="6"/>
        <v>1.0351365951406863</v>
      </c>
      <c r="I231" s="11">
        <v>1.0350999999999999</v>
      </c>
      <c r="J231" s="7">
        <v>6.5251432359218597E-2</v>
      </c>
      <c r="K231" s="7">
        <v>467.5</v>
      </c>
      <c r="L231" s="10">
        <v>1</v>
      </c>
      <c r="M231" s="7">
        <v>98.7674560546875</v>
      </c>
      <c r="N231" s="7">
        <f t="shared" si="7"/>
        <v>98.7674560546875</v>
      </c>
      <c r="O231" s="7">
        <v>0.21829999999999999</v>
      </c>
      <c r="P231" s="7">
        <v>-0.95</v>
      </c>
      <c r="Q231" s="7">
        <v>-0.42</v>
      </c>
      <c r="U231" s="13"/>
    </row>
    <row r="232" spans="1:21" x14ac:dyDescent="0.25">
      <c r="A232" s="4">
        <v>201508</v>
      </c>
      <c r="B232" s="4" t="s">
        <v>5</v>
      </c>
      <c r="C232" s="4" t="s">
        <v>6</v>
      </c>
      <c r="D232" s="4" t="s">
        <v>9</v>
      </c>
      <c r="E232" s="4">
        <v>71360</v>
      </c>
      <c r="F232" s="6">
        <v>118694</v>
      </c>
      <c r="G232" s="5">
        <v>120000</v>
      </c>
      <c r="H232" s="11">
        <f t="shared" si="6"/>
        <v>0.98911666666666664</v>
      </c>
      <c r="I232" s="11">
        <v>0.98909999999999998</v>
      </c>
      <c r="J232" s="7">
        <v>9.8953917622566223E-2</v>
      </c>
      <c r="K232" s="7">
        <v>467.5</v>
      </c>
      <c r="L232" s="10">
        <v>1</v>
      </c>
      <c r="M232" s="7">
        <v>82.478530883789063</v>
      </c>
      <c r="N232" s="7">
        <f t="shared" si="7"/>
        <v>82.478530883789063</v>
      </c>
      <c r="O232" s="7">
        <v>7.7000000000000002E-3</v>
      </c>
      <c r="P232" s="7">
        <v>-0.95</v>
      </c>
      <c r="Q232" s="7">
        <v>-0.42</v>
      </c>
      <c r="U232" s="13"/>
    </row>
    <row r="233" spans="1:21" x14ac:dyDescent="0.25">
      <c r="A233" s="4">
        <v>201507</v>
      </c>
      <c r="B233" s="4" t="s">
        <v>5</v>
      </c>
      <c r="C233" s="4" t="s">
        <v>6</v>
      </c>
      <c r="D233" s="4" t="s">
        <v>9</v>
      </c>
      <c r="E233" s="4">
        <v>71360</v>
      </c>
      <c r="F233" s="6">
        <v>39411</v>
      </c>
      <c r="G233" s="5">
        <v>50000</v>
      </c>
      <c r="H233" s="11">
        <f t="shared" si="6"/>
        <v>0.78822000000000003</v>
      </c>
      <c r="I233" s="11">
        <v>0.78820000000000001</v>
      </c>
      <c r="J233" s="7">
        <v>0.18615524470806122</v>
      </c>
      <c r="K233" s="7">
        <v>467.5</v>
      </c>
      <c r="L233" s="10">
        <v>1</v>
      </c>
      <c r="M233" s="7">
        <v>106.80866241455078</v>
      </c>
      <c r="N233" s="7">
        <f t="shared" si="7"/>
        <v>106.80866241455078</v>
      </c>
      <c r="O233" s="7">
        <v>1.2999999999999999E-3</v>
      </c>
      <c r="P233" s="7">
        <v>-0.95</v>
      </c>
      <c r="Q233" s="7">
        <v>-0.42</v>
      </c>
      <c r="U233" s="13"/>
    </row>
    <row r="234" spans="1:21" x14ac:dyDescent="0.25">
      <c r="A234" s="4">
        <v>201506</v>
      </c>
      <c r="B234" s="4" t="s">
        <v>5</v>
      </c>
      <c r="C234" s="4" t="s">
        <v>6</v>
      </c>
      <c r="D234" s="4" t="s">
        <v>9</v>
      </c>
      <c r="E234" s="4">
        <v>71360</v>
      </c>
      <c r="F234" s="6">
        <v>75521</v>
      </c>
      <c r="G234" s="5">
        <v>72000</v>
      </c>
      <c r="H234" s="11">
        <f t="shared" si="6"/>
        <v>1.0489027777777777</v>
      </c>
      <c r="I234" s="11">
        <v>1.0443</v>
      </c>
      <c r="J234" s="7">
        <v>0.10393209755420685</v>
      </c>
      <c r="K234" s="7">
        <v>467.5</v>
      </c>
      <c r="L234" s="10">
        <v>0.58373719806763202</v>
      </c>
      <c r="M234" s="7">
        <v>85.905967712402344</v>
      </c>
      <c r="N234" s="7">
        <f t="shared" si="7"/>
        <v>85.905967712402344</v>
      </c>
      <c r="O234" s="7">
        <v>2E-3</v>
      </c>
      <c r="P234" s="7">
        <v>-0.95</v>
      </c>
      <c r="Q234" s="7">
        <v>-0.42</v>
      </c>
      <c r="U234" s="13"/>
    </row>
    <row r="235" spans="1:21" x14ac:dyDescent="0.25">
      <c r="A235" s="4">
        <v>201505</v>
      </c>
      <c r="B235" s="4" t="s">
        <v>5</v>
      </c>
      <c r="C235" s="4" t="s">
        <v>6</v>
      </c>
      <c r="D235" s="4" t="s">
        <v>9</v>
      </c>
      <c r="E235" s="4">
        <v>71360</v>
      </c>
      <c r="F235" s="6">
        <v>101535</v>
      </c>
      <c r="G235" s="5">
        <v>140000</v>
      </c>
      <c r="H235" s="11">
        <f t="shared" si="6"/>
        <v>0.72524999999999995</v>
      </c>
      <c r="I235" s="11">
        <v>0.72519999999999996</v>
      </c>
      <c r="J235" s="7">
        <v>0.10688785463571548</v>
      </c>
      <c r="K235" s="7">
        <v>467.5</v>
      </c>
      <c r="L235" s="10">
        <v>1</v>
      </c>
      <c r="M235" s="7">
        <v>76.2623291015625</v>
      </c>
      <c r="N235" s="7">
        <f t="shared" si="7"/>
        <v>76.2623291015625</v>
      </c>
      <c r="O235" s="7">
        <v>2.8E-3</v>
      </c>
      <c r="P235" s="7">
        <v>-0.95</v>
      </c>
      <c r="Q235" s="7">
        <v>-0.42</v>
      </c>
      <c r="U235" s="13"/>
    </row>
    <row r="236" spans="1:21" x14ac:dyDescent="0.25">
      <c r="A236" s="4">
        <v>201504</v>
      </c>
      <c r="B236" s="4" t="s">
        <v>5</v>
      </c>
      <c r="C236" s="4" t="s">
        <v>6</v>
      </c>
      <c r="D236" s="4" t="s">
        <v>9</v>
      </c>
      <c r="E236" s="4">
        <v>71360</v>
      </c>
      <c r="F236" s="6">
        <v>995281</v>
      </c>
      <c r="G236" s="5">
        <v>1243000</v>
      </c>
      <c r="H236" s="11">
        <f t="shared" si="6"/>
        <v>0.80070876910699917</v>
      </c>
      <c r="I236" s="11">
        <v>0.80069999999999997</v>
      </c>
      <c r="J236" s="7">
        <v>0.18705096840858459</v>
      </c>
      <c r="K236" s="7">
        <v>467.5</v>
      </c>
      <c r="L236" s="10">
        <v>1</v>
      </c>
      <c r="M236" s="7">
        <v>102.19049072265625</v>
      </c>
      <c r="N236" s="7">
        <f t="shared" si="7"/>
        <v>102.19049072265625</v>
      </c>
      <c r="O236" s="7">
        <v>2.29E-2</v>
      </c>
      <c r="P236" s="7">
        <v>-0.95</v>
      </c>
      <c r="Q236" s="7">
        <v>-0.42</v>
      </c>
      <c r="U236" s="13"/>
    </row>
    <row r="237" spans="1:21" x14ac:dyDescent="0.25">
      <c r="A237" s="4">
        <v>201503</v>
      </c>
      <c r="B237" s="4" t="s">
        <v>5</v>
      </c>
      <c r="C237" s="4" t="s">
        <v>6</v>
      </c>
      <c r="D237" s="4" t="s">
        <v>9</v>
      </c>
      <c r="E237" s="4">
        <v>71360</v>
      </c>
      <c r="F237" s="6">
        <v>6028023</v>
      </c>
      <c r="G237" s="5">
        <v>6889000</v>
      </c>
      <c r="H237" s="11">
        <f t="shared" si="6"/>
        <v>0.8750214835244593</v>
      </c>
      <c r="I237" s="11">
        <v>0.86870000000000003</v>
      </c>
      <c r="J237" s="7">
        <v>0.13181200623512268</v>
      </c>
      <c r="K237" s="7">
        <v>467.5</v>
      </c>
      <c r="L237" s="10">
        <v>0.96960552422114499</v>
      </c>
      <c r="M237" s="7">
        <v>104.23526763916016</v>
      </c>
      <c r="N237" s="7">
        <f t="shared" si="7"/>
        <v>104.23526763916016</v>
      </c>
      <c r="O237" s="7">
        <v>0.129</v>
      </c>
      <c r="P237" s="7">
        <v>-0.95</v>
      </c>
      <c r="Q237" s="7">
        <v>-0.42</v>
      </c>
      <c r="U237" s="13"/>
    </row>
    <row r="238" spans="1:21" x14ac:dyDescent="0.25">
      <c r="A238" s="4">
        <v>201502</v>
      </c>
      <c r="B238" s="4" t="s">
        <v>5</v>
      </c>
      <c r="C238" s="4" t="s">
        <v>6</v>
      </c>
      <c r="D238" s="4" t="s">
        <v>9</v>
      </c>
      <c r="E238" s="4">
        <v>71360</v>
      </c>
      <c r="F238" s="6">
        <v>1101651</v>
      </c>
      <c r="G238" s="5">
        <v>1608000</v>
      </c>
      <c r="H238" s="11">
        <f t="shared" si="6"/>
        <v>0.68510634328358211</v>
      </c>
      <c r="I238" s="11">
        <v>0.68589999999999995</v>
      </c>
      <c r="J238" s="7">
        <v>0.1231527104973793</v>
      </c>
      <c r="K238" s="7">
        <v>467.5</v>
      </c>
      <c r="L238" s="10">
        <v>0.98422155752819496</v>
      </c>
      <c r="M238" s="7">
        <v>111.92469787597656</v>
      </c>
      <c r="N238" s="7">
        <f t="shared" si="7"/>
        <v>111.92469787597656</v>
      </c>
      <c r="O238" s="7">
        <v>4.5400000000000003E-2</v>
      </c>
      <c r="P238" s="7">
        <v>-0.95</v>
      </c>
      <c r="Q238" s="7">
        <v>-0.42</v>
      </c>
      <c r="U238" s="13"/>
    </row>
    <row r="239" spans="1:21" x14ac:dyDescent="0.25">
      <c r="A239" s="4">
        <v>201501</v>
      </c>
      <c r="B239" s="4" t="s">
        <v>5</v>
      </c>
      <c r="C239" s="4" t="s">
        <v>6</v>
      </c>
      <c r="D239" s="4" t="s">
        <v>9</v>
      </c>
      <c r="E239" s="4">
        <v>71360</v>
      </c>
      <c r="F239" s="6">
        <v>9225786</v>
      </c>
      <c r="G239" s="5">
        <v>12119000</v>
      </c>
      <c r="H239" s="11">
        <f t="shared" si="6"/>
        <v>0.76126627609538744</v>
      </c>
      <c r="I239" s="11">
        <v>0.76129999999999998</v>
      </c>
      <c r="J239" s="7">
        <v>0.21778281033039093</v>
      </c>
      <c r="K239" s="7">
        <v>467.5</v>
      </c>
      <c r="L239" s="10">
        <v>1</v>
      </c>
      <c r="M239" s="7">
        <v>111.98569488525391</v>
      </c>
      <c r="N239" s="7">
        <f t="shared" si="7"/>
        <v>111.98569488525391</v>
      </c>
      <c r="O239" s="7">
        <v>0.27750000000000002</v>
      </c>
      <c r="P239" s="7">
        <v>-0.95</v>
      </c>
      <c r="Q239" s="7">
        <v>-0.42</v>
      </c>
      <c r="U239" s="13"/>
    </row>
    <row r="240" spans="1:21" x14ac:dyDescent="0.25">
      <c r="A240" s="4">
        <v>201412</v>
      </c>
      <c r="B240" s="4" t="s">
        <v>5</v>
      </c>
      <c r="C240" s="4" t="s">
        <v>6</v>
      </c>
      <c r="D240" s="4" t="s">
        <v>9</v>
      </c>
      <c r="E240" s="4">
        <v>71360</v>
      </c>
      <c r="F240" s="6">
        <v>22288592</v>
      </c>
      <c r="G240" s="5">
        <v>30536000</v>
      </c>
      <c r="H240" s="11">
        <f t="shared" si="6"/>
        <v>0.72991197275347131</v>
      </c>
      <c r="I240" s="11">
        <v>0.7288</v>
      </c>
      <c r="J240" s="7">
        <v>0.20030480623245239</v>
      </c>
      <c r="K240" s="7">
        <v>559.1</v>
      </c>
      <c r="L240" s="10">
        <v>0.99668760424181901</v>
      </c>
      <c r="M240" s="7">
        <v>86.526222229003906</v>
      </c>
      <c r="N240" s="7">
        <f t="shared" si="7"/>
        <v>86.526222229003906</v>
      </c>
      <c r="O240" s="7">
        <v>0.32500000000000001</v>
      </c>
      <c r="P240" s="7">
        <v>-1</v>
      </c>
      <c r="Q240" s="7">
        <v>-0.6</v>
      </c>
      <c r="U240" s="13"/>
    </row>
    <row r="241" spans="1:21" x14ac:dyDescent="0.25">
      <c r="A241" s="4">
        <v>201411</v>
      </c>
      <c r="B241" s="4" t="s">
        <v>5</v>
      </c>
      <c r="C241" s="4" t="s">
        <v>6</v>
      </c>
      <c r="D241" s="4" t="s">
        <v>9</v>
      </c>
      <c r="E241" s="4">
        <v>71360</v>
      </c>
      <c r="F241" s="6">
        <v>23873184</v>
      </c>
      <c r="G241" s="5">
        <v>31886493</v>
      </c>
      <c r="H241" s="11">
        <f t="shared" si="6"/>
        <v>0.74869268313702608</v>
      </c>
      <c r="I241" s="11">
        <v>0.74890000000000001</v>
      </c>
      <c r="J241" s="7">
        <v>0.15289904177188873</v>
      </c>
      <c r="K241" s="7">
        <v>559.1</v>
      </c>
      <c r="L241" s="10">
        <v>1</v>
      </c>
      <c r="M241" s="7">
        <v>84.380050659179688</v>
      </c>
      <c r="N241" s="7">
        <f t="shared" si="7"/>
        <v>84.380050659179688</v>
      </c>
      <c r="O241" s="7">
        <v>0.32600000000000001</v>
      </c>
      <c r="P241" s="7">
        <v>-1</v>
      </c>
      <c r="Q241" s="7">
        <v>-0.6</v>
      </c>
      <c r="U241" s="13"/>
    </row>
    <row r="242" spans="1:21" x14ac:dyDescent="0.25">
      <c r="A242" s="4">
        <v>201410</v>
      </c>
      <c r="B242" s="4" t="s">
        <v>5</v>
      </c>
      <c r="C242" s="4" t="s">
        <v>6</v>
      </c>
      <c r="D242" s="4" t="s">
        <v>9</v>
      </c>
      <c r="E242" s="4">
        <v>71360</v>
      </c>
      <c r="F242" s="6">
        <v>12967004</v>
      </c>
      <c r="G242" s="5">
        <v>16979000</v>
      </c>
      <c r="H242" s="11">
        <f t="shared" si="6"/>
        <v>0.7637083456033924</v>
      </c>
      <c r="I242" s="11">
        <v>0.76339999999999997</v>
      </c>
      <c r="J242" s="7">
        <v>0.1330697238445282</v>
      </c>
      <c r="K242" s="7">
        <v>559.1</v>
      </c>
      <c r="L242" s="10">
        <v>0.99729514443470302</v>
      </c>
      <c r="M242" s="7">
        <v>83.661003112792969</v>
      </c>
      <c r="N242" s="7">
        <f t="shared" si="7"/>
        <v>83.661003112792969</v>
      </c>
      <c r="O242" s="7">
        <v>0.22670000000000001</v>
      </c>
      <c r="P242" s="7">
        <v>-1</v>
      </c>
      <c r="Q242" s="7">
        <v>-0.6</v>
      </c>
      <c r="U242" s="13"/>
    </row>
    <row r="243" spans="1:21" x14ac:dyDescent="0.25">
      <c r="A243" s="4">
        <v>201409</v>
      </c>
      <c r="B243" s="4" t="s">
        <v>5</v>
      </c>
      <c r="C243" s="4" t="s">
        <v>6</v>
      </c>
      <c r="D243" s="4" t="s">
        <v>9</v>
      </c>
      <c r="E243" s="4">
        <v>71360</v>
      </c>
      <c r="F243" s="6">
        <v>413301</v>
      </c>
      <c r="G243" s="5">
        <v>583000</v>
      </c>
      <c r="H243" s="11">
        <f t="shared" si="6"/>
        <v>0.70892109777015433</v>
      </c>
      <c r="I243" s="11">
        <v>0.70889999999999997</v>
      </c>
      <c r="J243" s="7">
        <v>0.14049454033374786</v>
      </c>
      <c r="K243" s="7">
        <v>559.1</v>
      </c>
      <c r="L243" s="10">
        <v>1</v>
      </c>
      <c r="M243" s="7">
        <v>131.55665588378906</v>
      </c>
      <c r="N243" s="7">
        <f t="shared" si="7"/>
        <v>131.55665588378906</v>
      </c>
      <c r="O243" s="7">
        <v>1.44E-2</v>
      </c>
      <c r="P243" s="7">
        <v>-1</v>
      </c>
      <c r="Q243" s="7">
        <v>-0.6</v>
      </c>
      <c r="U243" s="13"/>
    </row>
    <row r="244" spans="1:21" x14ac:dyDescent="0.25">
      <c r="A244" s="4">
        <v>201408</v>
      </c>
      <c r="B244" s="4" t="s">
        <v>5</v>
      </c>
      <c r="C244" s="4" t="s">
        <v>6</v>
      </c>
      <c r="D244" s="4" t="s">
        <v>9</v>
      </c>
      <c r="E244" s="4">
        <v>71360</v>
      </c>
      <c r="F244" s="6">
        <v>1542706</v>
      </c>
      <c r="G244" s="5">
        <v>2328000</v>
      </c>
      <c r="H244" s="11">
        <f t="shared" si="6"/>
        <v>0.66267439862542954</v>
      </c>
      <c r="I244" s="11">
        <v>0.6653</v>
      </c>
      <c r="J244" s="7">
        <v>0.16138376295566559</v>
      </c>
      <c r="K244" s="7">
        <v>559.1</v>
      </c>
      <c r="L244" s="10">
        <v>0.98895530903531204</v>
      </c>
      <c r="M244" s="7">
        <v>136.44558715820313</v>
      </c>
      <c r="N244" s="7">
        <f t="shared" si="7"/>
        <v>136.44558715820313</v>
      </c>
      <c r="O244" s="7">
        <v>0.1313</v>
      </c>
      <c r="P244" s="7">
        <v>-1</v>
      </c>
      <c r="Q244" s="7">
        <v>-0.6</v>
      </c>
      <c r="U244" s="13"/>
    </row>
    <row r="245" spans="1:21" x14ac:dyDescent="0.25">
      <c r="A245" s="4">
        <v>201407</v>
      </c>
      <c r="B245" s="4" t="s">
        <v>5</v>
      </c>
      <c r="C245" s="4" t="s">
        <v>6</v>
      </c>
      <c r="D245" s="4" t="s">
        <v>9</v>
      </c>
      <c r="E245" s="4">
        <v>71360</v>
      </c>
      <c r="F245" s="6">
        <v>2717832</v>
      </c>
      <c r="G245" s="5">
        <v>3809000</v>
      </c>
      <c r="H245" s="11">
        <f t="shared" si="6"/>
        <v>0.7135290102389078</v>
      </c>
      <c r="I245" s="11">
        <v>0.71350000000000002</v>
      </c>
      <c r="J245" s="7">
        <v>0.14513218402862549</v>
      </c>
      <c r="K245" s="7">
        <v>559.1</v>
      </c>
      <c r="L245" s="10">
        <v>1</v>
      </c>
      <c r="M245" s="7">
        <v>138.75395202636719</v>
      </c>
      <c r="N245" s="7">
        <f t="shared" si="7"/>
        <v>138.75395202636719</v>
      </c>
      <c r="O245" s="7">
        <v>0.1084</v>
      </c>
      <c r="P245" s="7">
        <v>-1</v>
      </c>
      <c r="Q245" s="7">
        <v>-0.6</v>
      </c>
      <c r="U245" s="13"/>
    </row>
    <row r="246" spans="1:21" x14ac:dyDescent="0.25">
      <c r="A246" s="4">
        <v>201406</v>
      </c>
      <c r="B246" s="4" t="s">
        <v>5</v>
      </c>
      <c r="C246" s="4" t="s">
        <v>6</v>
      </c>
      <c r="D246" s="4" t="s">
        <v>9</v>
      </c>
      <c r="E246" s="4">
        <v>71360</v>
      </c>
      <c r="F246" s="6">
        <v>5682194</v>
      </c>
      <c r="G246" s="5">
        <v>8129700</v>
      </c>
      <c r="H246" s="11">
        <f t="shared" si="6"/>
        <v>0.69894264240992898</v>
      </c>
      <c r="I246" s="11">
        <v>0.69530000000000003</v>
      </c>
      <c r="J246" s="7">
        <v>0.11897207796573639</v>
      </c>
      <c r="K246" s="7">
        <v>559.1</v>
      </c>
      <c r="L246" s="10">
        <v>0.99530600147977</v>
      </c>
      <c r="M246" s="7">
        <v>98.767105102539063</v>
      </c>
      <c r="N246" s="7">
        <f t="shared" si="7"/>
        <v>98.767105102539063</v>
      </c>
      <c r="O246" s="7">
        <v>0.1943</v>
      </c>
      <c r="P246" s="7">
        <v>-1</v>
      </c>
      <c r="Q246" s="7">
        <v>-0.6</v>
      </c>
      <c r="U246" s="13"/>
    </row>
    <row r="247" spans="1:21" x14ac:dyDescent="0.25">
      <c r="A247" s="4">
        <v>201405</v>
      </c>
      <c r="B247" s="4" t="s">
        <v>5</v>
      </c>
      <c r="C247" s="4" t="s">
        <v>6</v>
      </c>
      <c r="D247" s="4" t="s">
        <v>9</v>
      </c>
      <c r="E247" s="4">
        <v>71360</v>
      </c>
      <c r="F247" s="6">
        <v>2007320</v>
      </c>
      <c r="G247" s="5">
        <v>2880000</v>
      </c>
      <c r="H247" s="11">
        <f t="shared" si="6"/>
        <v>0.69698611111111108</v>
      </c>
      <c r="I247" s="11">
        <v>0.69740000000000002</v>
      </c>
      <c r="J247" s="7">
        <v>0.10159924626350403</v>
      </c>
      <c r="K247" s="7">
        <v>559.1</v>
      </c>
      <c r="L247" s="10">
        <v>0.95403310589742696</v>
      </c>
      <c r="M247" s="7">
        <v>83.428855895996094</v>
      </c>
      <c r="N247" s="7">
        <f t="shared" si="7"/>
        <v>83.428855895996094</v>
      </c>
      <c r="O247" s="7">
        <v>0.10979999999999999</v>
      </c>
      <c r="P247" s="7">
        <v>-1</v>
      </c>
      <c r="Q247" s="7">
        <v>-0.6</v>
      </c>
      <c r="U247" s="13"/>
    </row>
    <row r="248" spans="1:21" x14ac:dyDescent="0.25">
      <c r="A248" s="4">
        <v>201404</v>
      </c>
      <c r="B248" s="4" t="s">
        <v>5</v>
      </c>
      <c r="C248" s="4" t="s">
        <v>6</v>
      </c>
      <c r="D248" s="4" t="s">
        <v>9</v>
      </c>
      <c r="E248" s="4">
        <v>71360</v>
      </c>
      <c r="F248" s="6">
        <v>657936</v>
      </c>
      <c r="G248" s="5">
        <v>1225100</v>
      </c>
      <c r="H248" s="11">
        <f t="shared" si="6"/>
        <v>0.53704677169210679</v>
      </c>
      <c r="I248" s="11">
        <v>0.53700000000000003</v>
      </c>
      <c r="J248" s="7">
        <v>0.10253579169511795</v>
      </c>
      <c r="K248" s="7">
        <v>559.1</v>
      </c>
      <c r="L248" s="10">
        <v>1</v>
      </c>
      <c r="M248" s="7">
        <v>93.221542358398438</v>
      </c>
      <c r="N248" s="7">
        <f t="shared" si="7"/>
        <v>93.221542358398438</v>
      </c>
      <c r="O248" s="7">
        <v>5.4600000000000003E-2</v>
      </c>
      <c r="P248" s="7">
        <v>-1</v>
      </c>
      <c r="Q248" s="7">
        <v>-0.6</v>
      </c>
      <c r="U248" s="13"/>
    </row>
    <row r="249" spans="1:21" x14ac:dyDescent="0.25">
      <c r="A249" s="4">
        <v>201403</v>
      </c>
      <c r="B249" s="4" t="s">
        <v>5</v>
      </c>
      <c r="C249" s="4" t="s">
        <v>6</v>
      </c>
      <c r="D249" s="4" t="s">
        <v>9</v>
      </c>
      <c r="E249" s="4">
        <v>71360</v>
      </c>
      <c r="F249" s="6">
        <v>1475994</v>
      </c>
      <c r="G249" s="5">
        <v>2358000</v>
      </c>
      <c r="H249" s="11">
        <f t="shared" si="6"/>
        <v>0.6259516539440203</v>
      </c>
      <c r="I249" s="11">
        <v>0.62770000000000004</v>
      </c>
      <c r="J249" s="7">
        <v>0.24186046421527863</v>
      </c>
      <c r="K249" s="7">
        <v>559.1</v>
      </c>
      <c r="L249" s="10">
        <v>0.97994230533028304</v>
      </c>
      <c r="M249" s="7">
        <v>119.83855438232422</v>
      </c>
      <c r="N249" s="7">
        <f t="shared" si="7"/>
        <v>119.83855438232422</v>
      </c>
      <c r="O249" s="7">
        <v>0.1192</v>
      </c>
      <c r="P249" s="7">
        <v>-1</v>
      </c>
      <c r="Q249" s="7">
        <v>-0.6</v>
      </c>
      <c r="U249" s="13"/>
    </row>
    <row r="250" spans="1:21" x14ac:dyDescent="0.25">
      <c r="A250" s="4">
        <v>201402</v>
      </c>
      <c r="B250" s="4" t="s">
        <v>5</v>
      </c>
      <c r="C250" s="4" t="s">
        <v>6</v>
      </c>
      <c r="D250" s="4" t="s">
        <v>9</v>
      </c>
      <c r="E250" s="4">
        <v>71360</v>
      </c>
      <c r="F250" s="6">
        <v>1114362</v>
      </c>
      <c r="G250" s="5">
        <v>1918297</v>
      </c>
      <c r="H250" s="11">
        <f t="shared" si="6"/>
        <v>0.58091213195871128</v>
      </c>
      <c r="I250" s="11">
        <v>0.58069999999999999</v>
      </c>
      <c r="J250" s="7">
        <v>0.10369141399860382</v>
      </c>
      <c r="K250" s="7">
        <v>559.1</v>
      </c>
      <c r="L250" s="10">
        <v>0.97800553438011995</v>
      </c>
      <c r="M250" s="7">
        <v>69.003524780273438</v>
      </c>
      <c r="N250" s="7">
        <f t="shared" si="7"/>
        <v>69.003524780273438</v>
      </c>
      <c r="O250" s="7">
        <v>7.9799999999999996E-2</v>
      </c>
      <c r="P250" s="7">
        <v>-1</v>
      </c>
      <c r="Q250" s="7">
        <v>-0.6</v>
      </c>
      <c r="U250" s="13"/>
    </row>
    <row r="251" spans="1:21" x14ac:dyDescent="0.25">
      <c r="A251" s="4">
        <v>201401</v>
      </c>
      <c r="B251" s="4" t="s">
        <v>5</v>
      </c>
      <c r="C251" s="4" t="s">
        <v>6</v>
      </c>
      <c r="D251" s="4" t="s">
        <v>9</v>
      </c>
      <c r="E251" s="4">
        <v>71360</v>
      </c>
      <c r="F251" s="6">
        <v>7188417</v>
      </c>
      <c r="G251" s="5">
        <v>12848600</v>
      </c>
      <c r="H251" s="11">
        <f t="shared" si="6"/>
        <v>0.55947083728966585</v>
      </c>
      <c r="I251" s="11">
        <v>0.5595</v>
      </c>
      <c r="J251" s="7">
        <v>9.4265513122081757E-2</v>
      </c>
      <c r="K251" s="7">
        <v>559.1</v>
      </c>
      <c r="L251" s="10">
        <v>1</v>
      </c>
      <c r="M251" s="7">
        <v>77.915969848632813</v>
      </c>
      <c r="N251" s="7">
        <f t="shared" si="7"/>
        <v>77.915969848632813</v>
      </c>
      <c r="O251" s="7">
        <v>0.26090000000000002</v>
      </c>
      <c r="P251" s="7">
        <v>-1</v>
      </c>
      <c r="Q251" s="7">
        <v>-0.6</v>
      </c>
      <c r="U251" s="13"/>
    </row>
    <row r="252" spans="1:21" x14ac:dyDescent="0.25">
      <c r="A252" s="4">
        <v>201312</v>
      </c>
      <c r="B252" s="4" t="s">
        <v>5</v>
      </c>
      <c r="C252" s="4" t="s">
        <v>6</v>
      </c>
      <c r="D252" s="4" t="s">
        <v>9</v>
      </c>
      <c r="E252" s="4">
        <v>71360</v>
      </c>
      <c r="F252" s="6">
        <v>18696854</v>
      </c>
      <c r="G252" s="5">
        <v>33636800</v>
      </c>
      <c r="H252" s="11">
        <f t="shared" si="6"/>
        <v>0.55584520525139136</v>
      </c>
      <c r="I252" s="11">
        <v>0.55620000000000003</v>
      </c>
      <c r="J252" s="7">
        <v>7.9100750386714935E-2</v>
      </c>
      <c r="K252" s="7">
        <v>561.9</v>
      </c>
      <c r="L252" s="10">
        <v>0.99356555397119195</v>
      </c>
      <c r="M252" s="7">
        <v>70.372489929199219</v>
      </c>
      <c r="N252" s="7">
        <f t="shared" si="7"/>
        <v>70.372489929199219</v>
      </c>
      <c r="O252" s="7">
        <v>0.54379999999999995</v>
      </c>
      <c r="P252" s="7">
        <v>-1.23</v>
      </c>
      <c r="Q252" s="7">
        <v>-0.16</v>
      </c>
      <c r="U252" s="13"/>
    </row>
    <row r="253" spans="1:21" x14ac:dyDescent="0.25">
      <c r="A253" s="4">
        <v>201311</v>
      </c>
      <c r="B253" s="4" t="s">
        <v>5</v>
      </c>
      <c r="C253" s="4" t="s">
        <v>6</v>
      </c>
      <c r="D253" s="4" t="s">
        <v>9</v>
      </c>
      <c r="E253" s="4">
        <v>71360</v>
      </c>
      <c r="F253" s="6">
        <v>13909727</v>
      </c>
      <c r="G253" s="5">
        <v>26197100</v>
      </c>
      <c r="H253" s="11">
        <f t="shared" si="6"/>
        <v>0.53096438155368342</v>
      </c>
      <c r="I253" s="11">
        <v>0.53100000000000003</v>
      </c>
      <c r="J253" s="7">
        <v>0.15906079113483429</v>
      </c>
      <c r="K253" s="7">
        <v>561.9</v>
      </c>
      <c r="L253" s="10">
        <v>1</v>
      </c>
      <c r="M253" s="7">
        <v>77.779022216796875</v>
      </c>
      <c r="N253" s="7">
        <f t="shared" si="7"/>
        <v>77.779022216796875</v>
      </c>
      <c r="O253" s="7">
        <v>0.40329999999999999</v>
      </c>
      <c r="P253" s="7">
        <v>-1.23</v>
      </c>
      <c r="Q253" s="7">
        <v>-0.16</v>
      </c>
      <c r="U253" s="13"/>
    </row>
    <row r="254" spans="1:21" x14ac:dyDescent="0.25">
      <c r="A254" s="4">
        <v>201310</v>
      </c>
      <c r="B254" s="4" t="s">
        <v>5</v>
      </c>
      <c r="C254" s="4" t="s">
        <v>6</v>
      </c>
      <c r="D254" s="4" t="s">
        <v>9</v>
      </c>
      <c r="E254" s="4">
        <v>71360</v>
      </c>
      <c r="F254" s="6">
        <v>10670106</v>
      </c>
      <c r="G254" s="5">
        <v>19326000</v>
      </c>
      <c r="H254" s="11">
        <f t="shared" si="6"/>
        <v>0.55211145606954359</v>
      </c>
      <c r="I254" s="11">
        <v>0.5524</v>
      </c>
      <c r="J254" s="7">
        <v>0.12658685445785522</v>
      </c>
      <c r="K254" s="7">
        <v>561.9</v>
      </c>
      <c r="L254" s="10">
        <v>0.99854748813522998</v>
      </c>
      <c r="M254" s="7">
        <v>72.953117370605469</v>
      </c>
      <c r="N254" s="7">
        <f t="shared" si="7"/>
        <v>72.953117370605469</v>
      </c>
      <c r="O254" s="7">
        <v>0.39579999999999999</v>
      </c>
      <c r="P254" s="7">
        <v>-1.23</v>
      </c>
      <c r="Q254" s="7">
        <v>-0.16</v>
      </c>
      <c r="U254" s="13"/>
    </row>
    <row r="255" spans="1:21" x14ac:dyDescent="0.25">
      <c r="A255" s="4">
        <v>201309</v>
      </c>
      <c r="B255" s="4" t="s">
        <v>5</v>
      </c>
      <c r="C255" s="4" t="s">
        <v>6</v>
      </c>
      <c r="D255" s="4" t="s">
        <v>9</v>
      </c>
      <c r="E255" s="4">
        <v>71360</v>
      </c>
      <c r="F255" s="6">
        <v>1675311</v>
      </c>
      <c r="G255" s="5">
        <v>2803000</v>
      </c>
      <c r="H255" s="11">
        <f t="shared" si="6"/>
        <v>0.5976849803781662</v>
      </c>
      <c r="I255" s="11">
        <v>0.59899999999999998</v>
      </c>
      <c r="J255" s="7">
        <v>0.12699145078659058</v>
      </c>
      <c r="K255" s="7">
        <v>561.9</v>
      </c>
      <c r="L255" s="10">
        <v>0.994363155920437</v>
      </c>
      <c r="M255" s="7">
        <v>100.45932769775391</v>
      </c>
      <c r="N255" s="7">
        <f t="shared" si="7"/>
        <v>100.45932769775391</v>
      </c>
      <c r="O255" s="7">
        <v>7.3999999999999996E-2</v>
      </c>
      <c r="P255" s="7">
        <v>-1.23</v>
      </c>
      <c r="Q255" s="7">
        <v>-0.16</v>
      </c>
      <c r="U255" s="13"/>
    </row>
    <row r="256" spans="1:21" x14ac:dyDescent="0.25">
      <c r="A256" s="4">
        <v>201308</v>
      </c>
      <c r="B256" s="4" t="s">
        <v>5</v>
      </c>
      <c r="C256" s="4" t="s">
        <v>6</v>
      </c>
      <c r="D256" s="4" t="s">
        <v>9</v>
      </c>
      <c r="E256" s="4">
        <v>71360</v>
      </c>
      <c r="F256" s="6">
        <v>673192</v>
      </c>
      <c r="G256" s="5">
        <v>1047000</v>
      </c>
      <c r="H256" s="11">
        <f t="shared" si="6"/>
        <v>0.64297230181470866</v>
      </c>
      <c r="I256" s="11">
        <v>0.65549999999999997</v>
      </c>
      <c r="J256" s="7">
        <v>0.17600917816162109</v>
      </c>
      <c r="K256" s="7">
        <v>561.9</v>
      </c>
      <c r="L256" s="10">
        <v>0.95885505762171996</v>
      </c>
      <c r="M256" s="7">
        <v>90.956748962402344</v>
      </c>
      <c r="N256" s="7">
        <f t="shared" si="7"/>
        <v>90.956748962402344</v>
      </c>
      <c r="O256" s="7">
        <v>0.35799999999999998</v>
      </c>
      <c r="P256" s="7">
        <v>-1.23</v>
      </c>
      <c r="Q256" s="7">
        <v>-0.16</v>
      </c>
      <c r="U256" s="13"/>
    </row>
    <row r="257" spans="1:21" x14ac:dyDescent="0.25">
      <c r="A257" s="4">
        <v>201307</v>
      </c>
      <c r="B257" s="4" t="s">
        <v>5</v>
      </c>
      <c r="C257" s="4" t="s">
        <v>6</v>
      </c>
      <c r="D257" s="4" t="s">
        <v>9</v>
      </c>
      <c r="E257" s="4">
        <v>71360</v>
      </c>
      <c r="F257" s="6">
        <v>825578</v>
      </c>
      <c r="G257" s="5">
        <v>1231000</v>
      </c>
      <c r="H257" s="11">
        <f t="shared" si="6"/>
        <v>0.67065637692932578</v>
      </c>
      <c r="I257" s="11">
        <v>0.69869999999999999</v>
      </c>
      <c r="J257" s="7">
        <v>7.8542254865169525E-2</v>
      </c>
      <c r="K257" s="7">
        <v>561.9</v>
      </c>
      <c r="L257" s="10">
        <v>0.91201716264076604</v>
      </c>
      <c r="M257" s="7">
        <v>73.975814819335938</v>
      </c>
      <c r="N257" s="7">
        <f t="shared" si="7"/>
        <v>73.975814819335938</v>
      </c>
      <c r="O257" s="7">
        <v>0.40200000000000002</v>
      </c>
      <c r="P257" s="7">
        <v>-1.23</v>
      </c>
      <c r="Q257" s="7">
        <v>-0.16</v>
      </c>
      <c r="U257" s="13"/>
    </row>
    <row r="258" spans="1:21" x14ac:dyDescent="0.25">
      <c r="A258" s="4">
        <v>201306</v>
      </c>
      <c r="B258" s="4" t="s">
        <v>5</v>
      </c>
      <c r="C258" s="4" t="s">
        <v>6</v>
      </c>
      <c r="D258" s="4" t="s">
        <v>9</v>
      </c>
      <c r="E258" s="4">
        <v>71360</v>
      </c>
      <c r="F258" s="6">
        <v>1078935</v>
      </c>
      <c r="G258" s="5">
        <v>1668000</v>
      </c>
      <c r="H258" s="11">
        <f t="shared" si="6"/>
        <v>0.6468435251798561</v>
      </c>
      <c r="I258" s="11">
        <v>0.66990000000000005</v>
      </c>
      <c r="J258" s="7">
        <v>0.11796491593122482</v>
      </c>
      <c r="K258" s="7">
        <v>561.9</v>
      </c>
      <c r="L258" s="10">
        <v>0.92924801306365401</v>
      </c>
      <c r="M258" s="7">
        <v>82.973007202148438</v>
      </c>
      <c r="N258" s="7">
        <f t="shared" si="7"/>
        <v>82.973007202148438</v>
      </c>
      <c r="O258" s="7">
        <v>0.55100000000000005</v>
      </c>
      <c r="P258" s="7">
        <v>-1.23</v>
      </c>
      <c r="Q258" s="7">
        <v>-0.16</v>
      </c>
      <c r="U258" s="13"/>
    </row>
    <row r="259" spans="1:21" x14ac:dyDescent="0.25">
      <c r="A259" s="4">
        <v>201305</v>
      </c>
      <c r="B259" s="4" t="s">
        <v>5</v>
      </c>
      <c r="C259" s="4" t="s">
        <v>6</v>
      </c>
      <c r="D259" s="4" t="s">
        <v>9</v>
      </c>
      <c r="E259" s="4">
        <v>71360</v>
      </c>
      <c r="F259" s="6">
        <v>9629580</v>
      </c>
      <c r="G259" s="5">
        <v>14956000</v>
      </c>
      <c r="H259" s="11">
        <f t="shared" ref="H259:H260" si="8">F259/G259</f>
        <v>0.64386065792992775</v>
      </c>
      <c r="I259" s="11">
        <v>0.64319999999999999</v>
      </c>
      <c r="J259" s="7">
        <v>0.12266397476196289</v>
      </c>
      <c r="K259" s="7">
        <v>561.9</v>
      </c>
      <c r="L259" s="10">
        <v>0.997758416713172</v>
      </c>
      <c r="M259" s="7">
        <v>83.717315673828125</v>
      </c>
      <c r="N259" s="7">
        <f t="shared" ref="N259:N260" si="9">VLOOKUP(A259,$S$5:$T$158,2,FALSE)</f>
        <v>83.717315673828125</v>
      </c>
      <c r="O259" s="7">
        <v>0.32440000000000002</v>
      </c>
      <c r="P259" s="7">
        <v>-1.23</v>
      </c>
      <c r="Q259" s="7">
        <v>-0.16</v>
      </c>
      <c r="U259" s="13"/>
    </row>
    <row r="260" spans="1:21" x14ac:dyDescent="0.25">
      <c r="A260" s="4">
        <v>201304</v>
      </c>
      <c r="B260" s="4" t="s">
        <v>5</v>
      </c>
      <c r="C260" s="4" t="s">
        <v>6</v>
      </c>
      <c r="D260" s="4" t="s">
        <v>9</v>
      </c>
      <c r="E260" s="4">
        <v>71360</v>
      </c>
      <c r="F260" s="6">
        <v>6075152</v>
      </c>
      <c r="G260" s="5">
        <v>9878000</v>
      </c>
      <c r="H260" s="11">
        <f t="shared" si="8"/>
        <v>0.61501842478234459</v>
      </c>
      <c r="I260" s="11">
        <v>0.61639999999999995</v>
      </c>
      <c r="J260" s="7">
        <v>0.14600180089473724</v>
      </c>
      <c r="K260" s="7">
        <v>561.9</v>
      </c>
      <c r="L260" s="10">
        <v>0.99531468359614905</v>
      </c>
      <c r="M260" s="7">
        <v>95.107872009277344</v>
      </c>
      <c r="N260" s="7">
        <f t="shared" si="9"/>
        <v>95.107872009277344</v>
      </c>
      <c r="O260" s="7">
        <v>0.19939999999999999</v>
      </c>
      <c r="P260" s="7">
        <v>-1.23</v>
      </c>
      <c r="Q260" s="7">
        <v>-0.16</v>
      </c>
      <c r="U260" s="13"/>
    </row>
    <row r="261" spans="1:21" x14ac:dyDescent="0.25">
      <c r="U261" s="13"/>
    </row>
    <row r="262" spans="1:21" x14ac:dyDescent="0.25">
      <c r="F262">
        <f>_xlfn.STDEV.S(F2:F260)</f>
        <v>12045920.318133499</v>
      </c>
      <c r="J262">
        <f>_xlfn.STDEV.S(J2:J260)</f>
        <v>0.10594106203458512</v>
      </c>
      <c r="K262">
        <f>_xlfn.STDEV.S(K2:K260)</f>
        <v>92.929681191170275</v>
      </c>
      <c r="O262">
        <f>_xlfn.STDEV.S(O2:O260)</f>
        <v>0.14064844416103342</v>
      </c>
      <c r="U262" s="13"/>
    </row>
    <row r="263" spans="1:21" x14ac:dyDescent="0.25">
      <c r="A263" s="9"/>
      <c r="B263" s="9"/>
      <c r="C263" s="9"/>
      <c r="D263" s="9"/>
      <c r="E263" s="9"/>
      <c r="F263" s="24">
        <f>MIN(F2:F260)</f>
        <v>12994</v>
      </c>
      <c r="G263" s="9"/>
      <c r="H263" s="9"/>
      <c r="I263" s="1"/>
      <c r="J263" s="24">
        <f>MIN(J2:J260)</f>
        <v>6.3967831432819366E-2</v>
      </c>
      <c r="K263" s="24">
        <f>MIN(K2:K260)</f>
        <v>452.2</v>
      </c>
      <c r="O263" s="24">
        <f>MIN(O2:O260)</f>
        <v>8.0000000000000004E-4</v>
      </c>
      <c r="U263" s="13"/>
    </row>
    <row r="264" spans="1:21" x14ac:dyDescent="0.25">
      <c r="A264" s="9"/>
      <c r="B264" s="9"/>
      <c r="C264" s="9"/>
      <c r="D264" s="9"/>
      <c r="E264" s="9"/>
      <c r="F264" s="24">
        <f>MAX(F2:F260)</f>
        <v>102702315</v>
      </c>
      <c r="G264" s="9"/>
      <c r="H264" s="9"/>
      <c r="I264" s="1"/>
      <c r="J264" s="24">
        <f>MAX(J2:J260)</f>
        <v>0.76241862773895264</v>
      </c>
      <c r="K264" s="24">
        <f>MAX(K2:K260)</f>
        <v>797.4</v>
      </c>
      <c r="O264" s="24">
        <f>MAX(O2:O260)</f>
        <v>1</v>
      </c>
      <c r="U264" s="13"/>
    </row>
    <row r="265" spans="1:21" x14ac:dyDescent="0.25">
      <c r="A265" s="9"/>
      <c r="B265" s="9"/>
      <c r="C265" s="9"/>
      <c r="D265" s="9"/>
      <c r="E265" s="9"/>
      <c r="F265" s="9"/>
      <c r="G265" s="9"/>
      <c r="H265" s="9"/>
      <c r="I265" s="1"/>
      <c r="U265" s="13"/>
    </row>
    <row r="266" spans="1:21" x14ac:dyDescent="0.25">
      <c r="A266" s="9"/>
      <c r="B266" s="9"/>
      <c r="C266" s="9"/>
      <c r="D266" s="9"/>
      <c r="E266" s="9"/>
      <c r="F266" s="9"/>
      <c r="G266" s="9"/>
      <c r="H266" s="9"/>
      <c r="I266" s="1"/>
      <c r="U266" s="13"/>
    </row>
    <row r="267" spans="1:21" x14ac:dyDescent="0.25">
      <c r="A267" s="9"/>
      <c r="B267" s="9"/>
      <c r="C267" s="9"/>
      <c r="D267" s="9"/>
      <c r="E267" s="9"/>
      <c r="F267" s="9"/>
      <c r="G267" s="9"/>
      <c r="H267" s="9"/>
      <c r="I267" s="1"/>
      <c r="U267" s="13"/>
    </row>
    <row r="268" spans="1:21" x14ac:dyDescent="0.25">
      <c r="A268" s="9"/>
      <c r="B268" s="9"/>
      <c r="C268" s="9"/>
      <c r="D268" s="9"/>
      <c r="E268" s="9"/>
      <c r="F268" s="9"/>
      <c r="G268" s="9"/>
      <c r="H268" s="9"/>
      <c r="I268" s="1"/>
      <c r="U268" s="13"/>
    </row>
    <row r="269" spans="1:21" x14ac:dyDescent="0.25">
      <c r="A269" s="9"/>
      <c r="B269" s="9"/>
      <c r="C269" s="9"/>
      <c r="D269" s="9"/>
      <c r="E269" s="9"/>
      <c r="F269" s="9"/>
      <c r="G269" s="9"/>
      <c r="H269" s="9"/>
      <c r="I269" s="1"/>
      <c r="U269" s="13"/>
    </row>
    <row r="270" spans="1:21" x14ac:dyDescent="0.25">
      <c r="A270" s="9"/>
      <c r="B270" s="9"/>
      <c r="C270" s="9"/>
      <c r="D270" s="9"/>
      <c r="E270" s="9"/>
      <c r="F270" s="9"/>
      <c r="G270" s="9"/>
      <c r="H270" s="9"/>
      <c r="I270" s="1"/>
      <c r="U270" s="13"/>
    </row>
    <row r="271" spans="1:21" x14ac:dyDescent="0.25">
      <c r="A271" s="9"/>
      <c r="B271" s="9"/>
      <c r="C271" s="9"/>
      <c r="D271" s="9"/>
      <c r="E271" s="9"/>
      <c r="F271" s="9"/>
      <c r="G271" s="9"/>
      <c r="H271" s="9"/>
      <c r="I271" s="1"/>
      <c r="U271" s="13"/>
    </row>
    <row r="272" spans="1:21" x14ac:dyDescent="0.25">
      <c r="A272" s="9"/>
      <c r="B272" s="9"/>
      <c r="C272" s="9"/>
      <c r="D272" s="9"/>
      <c r="E272" s="9"/>
      <c r="F272" s="9"/>
      <c r="G272" s="9"/>
      <c r="H272" s="9"/>
      <c r="I272" s="1"/>
      <c r="U272" s="13"/>
    </row>
    <row r="273" spans="1:21" x14ac:dyDescent="0.25">
      <c r="A273" s="9"/>
      <c r="B273" s="9"/>
      <c r="C273" s="9"/>
      <c r="D273" s="9"/>
      <c r="E273" s="9"/>
      <c r="F273" s="9"/>
      <c r="G273" s="9"/>
      <c r="H273" s="9"/>
      <c r="I273" s="1"/>
      <c r="U273" s="13"/>
    </row>
    <row r="274" spans="1:21" x14ac:dyDescent="0.25">
      <c r="A274" s="9"/>
      <c r="B274" s="9"/>
      <c r="C274" s="9"/>
      <c r="D274" s="9"/>
      <c r="E274" s="9"/>
      <c r="F274" s="9"/>
      <c r="G274" s="9"/>
      <c r="H274" s="9"/>
      <c r="I274" s="1"/>
      <c r="U274" s="13"/>
    </row>
    <row r="275" spans="1:21" x14ac:dyDescent="0.25">
      <c r="A275" s="9"/>
      <c r="B275" s="9"/>
      <c r="C275" s="9"/>
      <c r="D275" s="9"/>
      <c r="E275" s="9"/>
      <c r="F275" s="9"/>
      <c r="G275" s="9"/>
      <c r="H275" s="9"/>
      <c r="I275" s="1"/>
      <c r="U275" s="13"/>
    </row>
    <row r="276" spans="1:21" x14ac:dyDescent="0.25">
      <c r="A276" s="9"/>
      <c r="B276" s="9"/>
      <c r="C276" s="9"/>
      <c r="D276" s="9"/>
      <c r="E276" s="9"/>
      <c r="F276" s="9"/>
      <c r="G276" s="9"/>
      <c r="H276" s="9"/>
      <c r="I276" s="1"/>
    </row>
    <row r="277" spans="1:21" x14ac:dyDescent="0.25">
      <c r="A277" s="9"/>
      <c r="B277" s="9"/>
      <c r="C277" s="9"/>
      <c r="D277" s="9"/>
      <c r="E277" s="9"/>
      <c r="F277" s="9"/>
      <c r="G277" s="9"/>
      <c r="H277" s="9"/>
      <c r="I277" s="1"/>
    </row>
    <row r="278" spans="1:21" x14ac:dyDescent="0.25">
      <c r="A278" s="9"/>
      <c r="B278" s="9"/>
      <c r="C278" s="9"/>
      <c r="D278" s="9"/>
      <c r="E278" s="9"/>
      <c r="F278" s="9"/>
      <c r="G278" s="9"/>
      <c r="H278" s="9"/>
      <c r="I278" s="1"/>
    </row>
    <row r="279" spans="1:21" x14ac:dyDescent="0.25">
      <c r="A279" s="9"/>
      <c r="B279" s="9"/>
      <c r="C279" s="9"/>
      <c r="D279" s="9"/>
      <c r="E279" s="9"/>
      <c r="F279" s="9"/>
      <c r="G279" s="9"/>
      <c r="H279" s="9"/>
      <c r="I279" s="1"/>
    </row>
    <row r="280" spans="1:21" x14ac:dyDescent="0.25">
      <c r="A280" s="9"/>
      <c r="B280" s="9"/>
      <c r="C280" s="9"/>
      <c r="D280" s="9"/>
      <c r="E280" s="9"/>
      <c r="F280" s="9"/>
      <c r="G280" s="9"/>
      <c r="H280" s="9"/>
      <c r="I280" s="1"/>
    </row>
    <row r="281" spans="1:21" x14ac:dyDescent="0.25">
      <c r="A281" s="9"/>
      <c r="B281" s="9"/>
      <c r="C281" s="9"/>
      <c r="D281" s="9"/>
      <c r="E281" s="9"/>
      <c r="F281" s="9"/>
      <c r="G281" s="9"/>
      <c r="H281" s="9"/>
      <c r="I281" s="1"/>
    </row>
    <row r="282" spans="1:21" x14ac:dyDescent="0.25">
      <c r="A282" s="9"/>
      <c r="B282" s="9"/>
      <c r="C282" s="9"/>
      <c r="D282" s="9"/>
      <c r="E282" s="9"/>
      <c r="F282" s="9"/>
      <c r="G282" s="9"/>
      <c r="H282" s="9"/>
      <c r="I282" s="1"/>
    </row>
    <row r="283" spans="1:21" x14ac:dyDescent="0.25">
      <c r="A283" s="9"/>
      <c r="B283" s="9"/>
      <c r="C283" s="9"/>
      <c r="D283" s="9"/>
      <c r="E283" s="9"/>
      <c r="F283" s="9"/>
      <c r="G283" s="9"/>
      <c r="H283" s="9"/>
      <c r="I283" s="1"/>
    </row>
    <row r="284" spans="1:21" x14ac:dyDescent="0.25">
      <c r="A284" s="9"/>
      <c r="B284" s="9"/>
      <c r="C284" s="9"/>
      <c r="D284" s="9"/>
      <c r="E284" s="9"/>
      <c r="F284" s="9"/>
      <c r="G284" s="9"/>
      <c r="H284" s="9"/>
      <c r="I284" s="1"/>
    </row>
    <row r="285" spans="1:21" x14ac:dyDescent="0.25">
      <c r="A285" s="9"/>
      <c r="B285" s="9"/>
      <c r="C285" s="9"/>
      <c r="D285" s="9"/>
      <c r="E285" s="9"/>
      <c r="F285" s="9"/>
      <c r="G285" s="9"/>
      <c r="H285" s="9"/>
      <c r="I285" s="1"/>
    </row>
    <row r="286" spans="1:21" x14ac:dyDescent="0.25">
      <c r="A286" s="9"/>
      <c r="B286" s="9"/>
      <c r="C286" s="9"/>
      <c r="D286" s="9"/>
      <c r="E286" s="9"/>
      <c r="F286" s="9"/>
      <c r="G286" s="9"/>
      <c r="H286" s="9"/>
      <c r="I286" s="1"/>
    </row>
    <row r="287" spans="1:21" x14ac:dyDescent="0.25">
      <c r="A287" s="9"/>
      <c r="B287" s="9"/>
      <c r="C287" s="9"/>
      <c r="D287" s="9"/>
      <c r="E287" s="9"/>
      <c r="F287" s="9"/>
      <c r="G287" s="9"/>
      <c r="H287" s="9"/>
      <c r="I287" s="1"/>
    </row>
    <row r="288" spans="1:21" x14ac:dyDescent="0.25">
      <c r="A288" s="9"/>
      <c r="B288" s="9"/>
      <c r="C288" s="9"/>
      <c r="D288" s="9"/>
      <c r="E288" s="9"/>
      <c r="F288" s="9"/>
      <c r="G288" s="9"/>
      <c r="H288" s="9"/>
      <c r="I288" s="1"/>
    </row>
    <row r="289" spans="1:9" x14ac:dyDescent="0.25">
      <c r="A289" s="9"/>
      <c r="B289" s="9"/>
      <c r="C289" s="9"/>
      <c r="D289" s="9"/>
      <c r="E289" s="9"/>
      <c r="F289" s="9"/>
      <c r="G289" s="9"/>
      <c r="H289" s="9"/>
      <c r="I289" s="1"/>
    </row>
    <row r="290" spans="1:9" x14ac:dyDescent="0.25">
      <c r="A290" s="9"/>
      <c r="B290" s="9"/>
      <c r="C290" s="9"/>
      <c r="D290" s="9"/>
      <c r="E290" s="9"/>
      <c r="F290" s="9"/>
      <c r="G290" s="9"/>
      <c r="H290" s="9"/>
      <c r="I290" s="1"/>
    </row>
    <row r="291" spans="1:9" x14ac:dyDescent="0.25">
      <c r="A291" s="9"/>
      <c r="B291" s="9"/>
      <c r="C291" s="9"/>
      <c r="D291" s="9"/>
      <c r="E291" s="9"/>
      <c r="F291" s="9"/>
      <c r="G291" s="9"/>
      <c r="H291" s="9"/>
      <c r="I291" s="1"/>
    </row>
    <row r="292" spans="1:9" x14ac:dyDescent="0.25">
      <c r="A292" s="9"/>
      <c r="B292" s="9"/>
      <c r="C292" s="9"/>
      <c r="D292" s="9"/>
      <c r="E292" s="9"/>
      <c r="F292" s="9"/>
      <c r="G292" s="9"/>
      <c r="H292" s="9"/>
      <c r="I292" s="1"/>
    </row>
    <row r="293" spans="1:9" x14ac:dyDescent="0.25">
      <c r="A293" s="9"/>
      <c r="B293" s="9"/>
      <c r="C293" s="9"/>
      <c r="D293" s="9"/>
      <c r="E293" s="9"/>
      <c r="F293" s="9"/>
      <c r="G293" s="9"/>
      <c r="H293" s="9"/>
      <c r="I293" s="1"/>
    </row>
    <row r="294" spans="1:9" x14ac:dyDescent="0.25">
      <c r="A294" s="9"/>
      <c r="B294" s="9"/>
      <c r="C294" s="9"/>
      <c r="D294" s="9"/>
      <c r="E294" s="9"/>
      <c r="F294" s="9"/>
      <c r="G294" s="9"/>
      <c r="H294" s="9"/>
      <c r="I294" s="1"/>
    </row>
    <row r="295" spans="1:9" x14ac:dyDescent="0.25">
      <c r="A295" s="9"/>
      <c r="B295" s="9"/>
      <c r="C295" s="9"/>
      <c r="D295" s="9"/>
      <c r="E295" s="9"/>
      <c r="F295" s="9"/>
      <c r="G295" s="9"/>
      <c r="H295" s="9"/>
      <c r="I295" s="1"/>
    </row>
    <row r="296" spans="1:9" x14ac:dyDescent="0.25">
      <c r="A296" s="9"/>
      <c r="B296" s="9"/>
      <c r="C296" s="9"/>
      <c r="D296" s="9"/>
      <c r="E296" s="9"/>
      <c r="F296" s="9"/>
      <c r="G296" s="9"/>
      <c r="H296" s="9"/>
      <c r="I296" s="1"/>
    </row>
    <row r="297" spans="1:9" x14ac:dyDescent="0.25">
      <c r="A297" s="9"/>
      <c r="B297" s="9"/>
      <c r="C297" s="9"/>
      <c r="D297" s="9"/>
      <c r="E297" s="9"/>
      <c r="F297" s="9"/>
      <c r="G297" s="9"/>
      <c r="H297" s="9"/>
      <c r="I297" s="1"/>
    </row>
    <row r="298" spans="1:9" x14ac:dyDescent="0.25">
      <c r="A298" s="9"/>
      <c r="B298" s="9"/>
      <c r="C298" s="9"/>
      <c r="D298" s="9"/>
      <c r="E298" s="9"/>
      <c r="F298" s="9"/>
      <c r="G298" s="9"/>
      <c r="H298" s="9"/>
      <c r="I298" s="1"/>
    </row>
    <row r="299" spans="1:9" x14ac:dyDescent="0.25">
      <c r="A299" s="9"/>
      <c r="B299" s="9"/>
      <c r="C299" s="9"/>
      <c r="D299" s="9"/>
      <c r="E299" s="9"/>
      <c r="F299" s="9"/>
      <c r="G299" s="9"/>
      <c r="H299" s="9"/>
      <c r="I299" s="1"/>
    </row>
    <row r="300" spans="1:9" x14ac:dyDescent="0.25">
      <c r="A300" s="9"/>
      <c r="B300" s="9"/>
      <c r="C300" s="9"/>
      <c r="D300" s="9"/>
      <c r="E300" s="9"/>
      <c r="F300" s="9"/>
      <c r="G300" s="9"/>
      <c r="H300" s="9"/>
      <c r="I300" s="1"/>
    </row>
    <row r="301" spans="1:9" x14ac:dyDescent="0.25">
      <c r="A301" s="9"/>
      <c r="B301" s="9"/>
      <c r="C301" s="9"/>
      <c r="D301" s="9"/>
      <c r="E301" s="9"/>
      <c r="F301" s="9"/>
      <c r="G301" s="9"/>
      <c r="H301" s="9"/>
      <c r="I301" s="1"/>
    </row>
    <row r="302" spans="1:9" x14ac:dyDescent="0.25">
      <c r="A302" s="9"/>
      <c r="B302" s="9"/>
      <c r="C302" s="9"/>
      <c r="D302" s="9"/>
      <c r="E302" s="9"/>
      <c r="F302" s="9"/>
      <c r="G302" s="9"/>
      <c r="H302" s="9"/>
      <c r="I302" s="1"/>
    </row>
    <row r="303" spans="1:9" x14ac:dyDescent="0.25">
      <c r="A303" s="9"/>
      <c r="B303" s="9"/>
      <c r="C303" s="9"/>
      <c r="D303" s="9"/>
      <c r="E303" s="9"/>
      <c r="F303" s="9"/>
      <c r="G303" s="9"/>
      <c r="H303" s="9"/>
      <c r="I303" s="1"/>
    </row>
    <row r="304" spans="1:9" x14ac:dyDescent="0.25">
      <c r="A304" s="9"/>
      <c r="B304" s="9"/>
      <c r="C304" s="9"/>
      <c r="D304" s="9"/>
      <c r="E304" s="9"/>
      <c r="F304" s="9"/>
      <c r="G304" s="9"/>
      <c r="H304" s="9"/>
      <c r="I304" s="1"/>
    </row>
    <row r="305" spans="1:9" x14ac:dyDescent="0.25">
      <c r="A305" s="9"/>
      <c r="B305" s="9"/>
      <c r="C305" s="9"/>
      <c r="D305" s="9"/>
      <c r="E305" s="9"/>
      <c r="F305" s="9"/>
      <c r="G305" s="9"/>
      <c r="H305" s="9"/>
      <c r="I305" s="1"/>
    </row>
    <row r="306" spans="1:9" x14ac:dyDescent="0.25">
      <c r="A306" s="9"/>
      <c r="B306" s="9"/>
      <c r="C306" s="9"/>
      <c r="D306" s="9"/>
      <c r="E306" s="9"/>
      <c r="F306" s="9"/>
      <c r="G306" s="9"/>
      <c r="H306" s="9"/>
      <c r="I306" s="1"/>
    </row>
    <row r="307" spans="1:9" x14ac:dyDescent="0.25">
      <c r="A307" s="9"/>
      <c r="B307" s="9"/>
      <c r="C307" s="9"/>
      <c r="D307" s="9"/>
      <c r="E307" s="9"/>
      <c r="F307" s="9"/>
      <c r="G307" s="9"/>
      <c r="H307" s="9"/>
      <c r="I307" s="1"/>
    </row>
    <row r="308" spans="1:9" x14ac:dyDescent="0.25">
      <c r="A308" s="9"/>
      <c r="B308" s="9"/>
      <c r="C308" s="9"/>
      <c r="D308" s="9"/>
      <c r="E308" s="9"/>
      <c r="F308" s="9"/>
      <c r="G308" s="9"/>
      <c r="H308" s="9"/>
      <c r="I308" s="1"/>
    </row>
    <row r="309" spans="1:9" x14ac:dyDescent="0.25">
      <c r="A309" s="9"/>
      <c r="B309" s="9"/>
      <c r="C309" s="9"/>
      <c r="D309" s="9"/>
      <c r="E309" s="9"/>
      <c r="F309" s="9"/>
      <c r="G309" s="9"/>
      <c r="H309" s="9"/>
      <c r="I309" s="1"/>
    </row>
    <row r="310" spans="1:9" x14ac:dyDescent="0.25">
      <c r="A310" s="9"/>
      <c r="B310" s="9"/>
      <c r="C310" s="9"/>
      <c r="D310" s="9"/>
      <c r="E310" s="9"/>
      <c r="F310" s="9"/>
      <c r="G310" s="9"/>
      <c r="H310" s="9"/>
      <c r="I310" s="1"/>
    </row>
    <row r="311" spans="1:9" x14ac:dyDescent="0.25">
      <c r="A311" s="9"/>
      <c r="B311" s="9"/>
      <c r="C311" s="9"/>
      <c r="D311" s="9"/>
      <c r="E311" s="9"/>
      <c r="F311" s="9"/>
      <c r="G311" s="9"/>
      <c r="H311" s="9"/>
      <c r="I311" s="1"/>
    </row>
    <row r="312" spans="1:9" x14ac:dyDescent="0.25">
      <c r="A312" s="9"/>
      <c r="B312" s="9"/>
      <c r="C312" s="9"/>
      <c r="D312" s="9"/>
      <c r="E312" s="9"/>
      <c r="F312" s="9"/>
      <c r="G312" s="9"/>
      <c r="H312" s="9"/>
      <c r="I312" s="1"/>
    </row>
    <row r="313" spans="1:9" x14ac:dyDescent="0.25">
      <c r="A313" s="9"/>
      <c r="B313" s="9"/>
      <c r="C313" s="9"/>
      <c r="D313" s="9"/>
      <c r="E313" s="9"/>
      <c r="F313" s="9"/>
      <c r="G313" s="9"/>
      <c r="H313" s="9"/>
      <c r="I313" s="1"/>
    </row>
    <row r="314" spans="1:9" x14ac:dyDescent="0.25">
      <c r="A314" s="9"/>
      <c r="B314" s="9"/>
      <c r="C314" s="9"/>
      <c r="D314" s="9"/>
      <c r="E314" s="9"/>
      <c r="F314" s="9"/>
      <c r="G314" s="9"/>
      <c r="H314" s="9"/>
      <c r="I314" s="1"/>
    </row>
    <row r="315" spans="1:9" x14ac:dyDescent="0.25">
      <c r="A315" s="9"/>
      <c r="B315" s="9"/>
      <c r="C315" s="9"/>
      <c r="D315" s="9"/>
      <c r="E315" s="9"/>
      <c r="F315" s="9"/>
      <c r="G315" s="9"/>
      <c r="H315" s="9"/>
      <c r="I315" s="1"/>
    </row>
    <row r="316" spans="1:9" x14ac:dyDescent="0.25">
      <c r="A316" s="9"/>
      <c r="B316" s="9"/>
      <c r="C316" s="9"/>
      <c r="D316" s="9"/>
      <c r="E316" s="9"/>
      <c r="F316" s="9"/>
      <c r="G316" s="9"/>
      <c r="H316" s="9"/>
      <c r="I316" s="1"/>
    </row>
    <row r="317" spans="1:9" x14ac:dyDescent="0.25">
      <c r="A317" s="9"/>
      <c r="B317" s="9"/>
      <c r="C317" s="9"/>
      <c r="D317" s="9"/>
      <c r="E317" s="9"/>
      <c r="F317" s="9"/>
      <c r="G317" s="9"/>
      <c r="H317" s="9"/>
      <c r="I317" s="1"/>
    </row>
    <row r="318" spans="1:9" x14ac:dyDescent="0.25">
      <c r="A318" s="9"/>
      <c r="B318" s="9"/>
      <c r="C318" s="9"/>
      <c r="D318" s="9"/>
      <c r="E318" s="9"/>
      <c r="F318" s="9"/>
      <c r="G318" s="9"/>
      <c r="H318" s="9"/>
      <c r="I318" s="1"/>
    </row>
    <row r="319" spans="1:9" x14ac:dyDescent="0.25">
      <c r="A319" s="9"/>
      <c r="B319" s="9"/>
      <c r="C319" s="9"/>
      <c r="D319" s="9"/>
      <c r="E319" s="9"/>
      <c r="F319" s="9"/>
      <c r="G319" s="9"/>
      <c r="H319" s="9"/>
      <c r="I319" s="1"/>
    </row>
    <row r="320" spans="1:9" x14ac:dyDescent="0.25">
      <c r="A320" s="9"/>
      <c r="B320" s="9"/>
      <c r="C320" s="9"/>
      <c r="D320" s="9"/>
      <c r="E320" s="9"/>
      <c r="F320" s="9"/>
      <c r="G320" s="9"/>
      <c r="H320" s="9"/>
      <c r="I320" s="1"/>
    </row>
    <row r="321" spans="1:9" x14ac:dyDescent="0.25">
      <c r="A321" s="9"/>
      <c r="B321" s="9"/>
      <c r="C321" s="9"/>
      <c r="D321" s="9"/>
      <c r="E321" s="9"/>
      <c r="F321" s="9"/>
      <c r="G321" s="9"/>
      <c r="H321" s="9"/>
      <c r="I321" s="1"/>
    </row>
    <row r="322" spans="1:9" x14ac:dyDescent="0.25">
      <c r="A322" s="9"/>
      <c r="B322" s="9"/>
      <c r="C322" s="9"/>
      <c r="D322" s="9"/>
      <c r="E322" s="9"/>
      <c r="F322" s="9"/>
      <c r="G322" s="9"/>
      <c r="H322" s="9"/>
      <c r="I322" s="1"/>
    </row>
    <row r="323" spans="1:9" x14ac:dyDescent="0.25">
      <c r="A323" s="9"/>
      <c r="B323" s="9"/>
      <c r="C323" s="9"/>
      <c r="D323" s="9"/>
      <c r="E323" s="9"/>
      <c r="F323" s="9"/>
      <c r="G323" s="9"/>
      <c r="H323" s="9"/>
      <c r="I323" s="1"/>
    </row>
    <row r="324" spans="1:9" x14ac:dyDescent="0.25">
      <c r="A324" s="9"/>
      <c r="B324" s="9"/>
      <c r="C324" s="9"/>
      <c r="D324" s="9"/>
      <c r="E324" s="9"/>
      <c r="F324" s="9"/>
      <c r="G324" s="9"/>
      <c r="H324" s="9"/>
      <c r="I324" s="1"/>
    </row>
    <row r="325" spans="1:9" x14ac:dyDescent="0.25">
      <c r="A325" s="9"/>
      <c r="B325" s="9"/>
      <c r="C325" s="9"/>
      <c r="D325" s="9"/>
      <c r="E325" s="9"/>
      <c r="F325" s="9"/>
      <c r="G325" s="9"/>
      <c r="H325" s="9"/>
      <c r="I325" s="1"/>
    </row>
    <row r="326" spans="1:9" x14ac:dyDescent="0.25">
      <c r="A326" s="9"/>
      <c r="B326" s="9"/>
      <c r="C326" s="9"/>
      <c r="D326" s="9"/>
      <c r="E326" s="9"/>
      <c r="F326" s="9"/>
      <c r="G326" s="9"/>
      <c r="H326" s="9"/>
      <c r="I326" s="1"/>
    </row>
    <row r="327" spans="1:9" x14ac:dyDescent="0.25">
      <c r="A327" s="9"/>
      <c r="B327" s="9"/>
      <c r="C327" s="9"/>
      <c r="D327" s="9"/>
      <c r="E327" s="9"/>
      <c r="F327" s="9"/>
      <c r="G327" s="9"/>
      <c r="H327" s="9"/>
      <c r="I327" s="1"/>
    </row>
    <row r="328" spans="1:9" x14ac:dyDescent="0.25">
      <c r="A328" s="9"/>
      <c r="B328" s="9"/>
      <c r="C328" s="9"/>
      <c r="D328" s="9"/>
      <c r="E328" s="9"/>
      <c r="F328" s="9"/>
      <c r="G328" s="9"/>
      <c r="H328" s="9"/>
      <c r="I328" s="1"/>
    </row>
    <row r="329" spans="1:9" x14ac:dyDescent="0.25">
      <c r="A329" s="9"/>
      <c r="B329" s="9"/>
      <c r="C329" s="9"/>
      <c r="D329" s="9"/>
      <c r="E329" s="9"/>
      <c r="F329" s="9"/>
      <c r="G329" s="9"/>
      <c r="H329" s="9"/>
      <c r="I329" s="1"/>
    </row>
    <row r="330" spans="1:9" x14ac:dyDescent="0.25">
      <c r="A330" s="9"/>
      <c r="B330" s="9"/>
      <c r="C330" s="9"/>
      <c r="D330" s="9"/>
      <c r="E330" s="9"/>
      <c r="F330" s="9"/>
      <c r="G330" s="9"/>
      <c r="H330" s="9"/>
      <c r="I330" s="1"/>
    </row>
    <row r="331" spans="1:9" x14ac:dyDescent="0.25">
      <c r="A331" s="9"/>
      <c r="B331" s="9"/>
      <c r="C331" s="9"/>
      <c r="D331" s="9"/>
      <c r="E331" s="9"/>
      <c r="F331" s="9"/>
      <c r="G331" s="9"/>
      <c r="H331" s="9"/>
      <c r="I331" s="1"/>
    </row>
    <row r="332" spans="1:9" x14ac:dyDescent="0.25">
      <c r="A332" s="9"/>
      <c r="B332" s="9"/>
      <c r="C332" s="9"/>
      <c r="D332" s="9"/>
      <c r="E332" s="9"/>
      <c r="F332" s="9"/>
      <c r="G332" s="9"/>
      <c r="H332" s="9"/>
      <c r="I332" s="1"/>
    </row>
    <row r="333" spans="1:9" x14ac:dyDescent="0.25">
      <c r="A333" s="9"/>
      <c r="B333" s="9"/>
      <c r="C333" s="9"/>
      <c r="D333" s="9"/>
      <c r="E333" s="9"/>
      <c r="F333" s="9"/>
      <c r="G333" s="9"/>
      <c r="H333" s="9"/>
      <c r="I333" s="1"/>
    </row>
    <row r="334" spans="1:9" x14ac:dyDescent="0.25">
      <c r="A334" s="9"/>
      <c r="B334" s="9"/>
      <c r="C334" s="9"/>
      <c r="D334" s="9"/>
      <c r="E334" s="9"/>
      <c r="F334" s="9"/>
      <c r="G334" s="9"/>
      <c r="H334" s="9"/>
      <c r="I334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95D4A-DA9A-40C5-8FD6-173DD15BF60A}">
  <sheetPr codeName="Sheet1"/>
  <dimension ref="A1:AD261"/>
  <sheetViews>
    <sheetView zoomScaleNormal="100" workbookViewId="0"/>
  </sheetViews>
  <sheetFormatPr defaultRowHeight="15" x14ac:dyDescent="0.25"/>
  <cols>
    <col min="1" max="1" width="7" bestFit="1" customWidth="1"/>
    <col min="2" max="2" width="16.42578125" bestFit="1" customWidth="1"/>
    <col min="3" max="3" width="11.5703125" bestFit="1" customWidth="1"/>
    <col min="4" max="4" width="15.42578125" bestFit="1" customWidth="1"/>
    <col min="5" max="5" width="17.28515625" bestFit="1" customWidth="1"/>
    <col min="6" max="6" width="20.7109375" bestFit="1" customWidth="1"/>
    <col min="7" max="7" width="16" bestFit="1" customWidth="1"/>
    <col min="8" max="8" width="18.7109375" bestFit="1" customWidth="1"/>
    <col min="9" max="9" width="21.7109375" bestFit="1" customWidth="1"/>
    <col min="10" max="10" width="20.140625" bestFit="1" customWidth="1"/>
    <col min="11" max="11" width="21.140625" bestFit="1" customWidth="1"/>
    <col min="12" max="12" width="13.7109375" bestFit="1" customWidth="1"/>
    <col min="13" max="13" width="14.85546875" bestFit="1" customWidth="1"/>
    <col min="14" max="16" width="14.85546875" customWidth="1"/>
    <col min="17" max="19" width="23.140625" customWidth="1"/>
    <col min="20" max="20" width="7.42578125" bestFit="1" customWidth="1"/>
    <col min="23" max="23" width="23.140625" bestFit="1" customWidth="1"/>
    <col min="24" max="24" width="15.140625" customWidth="1"/>
    <col min="27" max="27" width="55" customWidth="1"/>
    <col min="28" max="28" width="10.7109375" bestFit="1" customWidth="1"/>
    <col min="29" max="29" width="47" bestFit="1" customWidth="1"/>
  </cols>
  <sheetData>
    <row r="1" spans="1:30" x14ac:dyDescent="0.25">
      <c r="A1" s="8" t="s">
        <v>15</v>
      </c>
      <c r="B1" s="8" t="s">
        <v>4</v>
      </c>
      <c r="C1" s="8" t="s">
        <v>10</v>
      </c>
      <c r="D1" s="8" t="s">
        <v>16</v>
      </c>
      <c r="E1" s="8" t="s">
        <v>11</v>
      </c>
      <c r="F1" s="8" t="s">
        <v>12</v>
      </c>
      <c r="G1" s="8" t="s">
        <v>13</v>
      </c>
      <c r="H1" s="8" t="s">
        <v>25</v>
      </c>
      <c r="I1" s="12" t="s">
        <v>20</v>
      </c>
      <c r="J1" s="12" t="s">
        <v>18</v>
      </c>
      <c r="K1" s="12" t="s">
        <v>19</v>
      </c>
      <c r="L1" s="14" t="s">
        <v>22</v>
      </c>
      <c r="M1" s="12" t="s">
        <v>21</v>
      </c>
      <c r="N1" s="12" t="s">
        <v>23</v>
      </c>
      <c r="O1" s="12" t="s">
        <v>24</v>
      </c>
      <c r="P1" s="12" t="s">
        <v>26</v>
      </c>
      <c r="Q1" s="12" t="s">
        <v>27</v>
      </c>
      <c r="R1" s="23" t="s">
        <v>30</v>
      </c>
      <c r="S1" s="23" t="s">
        <v>31</v>
      </c>
    </row>
    <row r="2" spans="1:30" x14ac:dyDescent="0.25">
      <c r="A2" s="7">
        <f>Data!A2</f>
        <v>202506</v>
      </c>
      <c r="B2" s="7">
        <v>71360</v>
      </c>
      <c r="C2" s="7">
        <f>Data!F2</f>
        <v>2374880</v>
      </c>
      <c r="D2" s="7">
        <f>IF(Data!D2="Malawi", 1, 0)</f>
        <v>1</v>
      </c>
      <c r="E2" s="7">
        <f t="shared" ref="E2:E65" si="0">IF(A2&gt;202100, 1, 0)</f>
        <v>1</v>
      </c>
      <c r="F2" s="7">
        <f t="shared" ref="F2:F65" si="1">D2*E2</f>
        <v>1</v>
      </c>
      <c r="G2" s="10">
        <f>Data!L2</f>
        <v>0.937363582038653</v>
      </c>
      <c r="H2" s="10">
        <f>F2*G2</f>
        <v>0.937363582038653</v>
      </c>
      <c r="I2" s="10">
        <f>Data!H2</f>
        <v>0.74453717230871486</v>
      </c>
      <c r="J2" s="10">
        <f>Data!I2</f>
        <v>0.74650000000000005</v>
      </c>
      <c r="K2" s="10">
        <f>(I2*G2)+(J2*(1-G2))</f>
        <v>0.74466011680437239</v>
      </c>
      <c r="L2" s="10">
        <f>Data!J2</f>
        <v>0.46758103370666504</v>
      </c>
      <c r="M2" s="21"/>
      <c r="N2" s="21">
        <f>Data!M2</f>
        <v>220.12001037597656</v>
      </c>
      <c r="O2" s="21">
        <f>Data!N2</f>
        <v>220.12001037597656</v>
      </c>
      <c r="P2" s="10">
        <f>Data!O2</f>
        <v>5.5399999999999998E-2</v>
      </c>
      <c r="Q2" s="10">
        <f>P2*F2</f>
        <v>5.5399999999999998E-2</v>
      </c>
      <c r="R2" s="10"/>
      <c r="S2" s="10"/>
    </row>
    <row r="3" spans="1:30" x14ac:dyDescent="0.25">
      <c r="A3" s="7">
        <f>Data!A3</f>
        <v>202505</v>
      </c>
      <c r="B3" s="7">
        <v>71360</v>
      </c>
      <c r="C3" s="7">
        <f>Data!F3</f>
        <v>2602564</v>
      </c>
      <c r="D3" s="7">
        <f>IF(Data!D3="Malawi", 1, 0)</f>
        <v>1</v>
      </c>
      <c r="E3" s="7">
        <f t="shared" si="0"/>
        <v>1</v>
      </c>
      <c r="F3" s="7">
        <f t="shared" si="1"/>
        <v>1</v>
      </c>
      <c r="G3" s="10">
        <f>Data!L3</f>
        <v>0.942057555133897</v>
      </c>
      <c r="H3" s="10">
        <f t="shared" ref="H3:H66" si="2">F3*G3</f>
        <v>0.942057555133897</v>
      </c>
      <c r="I3" s="10">
        <f>Data!H3</f>
        <v>0.8014794284306479</v>
      </c>
      <c r="J3" s="10">
        <f>Data!I3</f>
        <v>0.82589999999999997</v>
      </c>
      <c r="K3" s="10">
        <f t="shared" ref="K3:K66" si="3">(I3*G3)+(J3*(1-G3))</f>
        <v>0.80289441605240375</v>
      </c>
      <c r="L3" s="10">
        <f>Data!J3</f>
        <v>0.76241862773895264</v>
      </c>
      <c r="M3" s="21"/>
      <c r="N3" s="21">
        <f>Data!M3</f>
        <v>165.22462463378906</v>
      </c>
      <c r="O3" s="21">
        <f>Data!N3</f>
        <v>165.22462463378906</v>
      </c>
      <c r="P3" s="10">
        <f>Data!O3</f>
        <v>3.6799999999999999E-2</v>
      </c>
      <c r="Q3" s="10">
        <f t="shared" ref="Q3:Q66" si="4">P3*F3</f>
        <v>3.6799999999999999E-2</v>
      </c>
      <c r="R3" s="10"/>
      <c r="S3" s="10"/>
    </row>
    <row r="4" spans="1:30" x14ac:dyDescent="0.25">
      <c r="A4" s="7">
        <f>Data!A4</f>
        <v>202504</v>
      </c>
      <c r="B4" s="7">
        <v>71360</v>
      </c>
      <c r="C4" s="7">
        <f>Data!F4</f>
        <v>2640494</v>
      </c>
      <c r="D4" s="7">
        <f>IF(Data!D4="Malawi", 1, 0)</f>
        <v>1</v>
      </c>
      <c r="E4" s="7">
        <f t="shared" si="0"/>
        <v>1</v>
      </c>
      <c r="F4" s="7">
        <f t="shared" si="1"/>
        <v>1</v>
      </c>
      <c r="G4" s="10">
        <f>Data!L4</f>
        <v>0.95744031258928997</v>
      </c>
      <c r="H4" s="10">
        <f t="shared" si="2"/>
        <v>0.95744031258928997</v>
      </c>
      <c r="I4" s="10">
        <f>Data!H4</f>
        <v>0.80947087676272222</v>
      </c>
      <c r="J4" s="10">
        <f>Data!I4</f>
        <v>0.82569999999999999</v>
      </c>
      <c r="K4" s="10">
        <f t="shared" si="3"/>
        <v>0.8101615831746507</v>
      </c>
      <c r="L4" s="10">
        <f>Data!J4</f>
        <v>0.4251442551612854</v>
      </c>
      <c r="M4" s="21"/>
      <c r="N4" s="21">
        <f>Data!M4</f>
        <v>140.52890014648438</v>
      </c>
      <c r="O4" s="21">
        <f>Data!N4</f>
        <v>140.52890014648438</v>
      </c>
      <c r="P4" s="10">
        <f>Data!O4</f>
        <v>3.3300000000000003E-2</v>
      </c>
      <c r="Q4" s="10">
        <f t="shared" si="4"/>
        <v>3.3300000000000003E-2</v>
      </c>
      <c r="R4" s="10"/>
      <c r="S4" s="10"/>
      <c r="W4" s="18"/>
      <c r="X4" s="16"/>
      <c r="Z4" s="9"/>
      <c r="AA4" s="9"/>
      <c r="AB4" s="9"/>
      <c r="AC4" s="9"/>
      <c r="AD4" s="2"/>
    </row>
    <row r="5" spans="1:30" x14ac:dyDescent="0.25">
      <c r="A5" s="7">
        <f>Data!A5</f>
        <v>202503</v>
      </c>
      <c r="B5" s="7">
        <v>71360</v>
      </c>
      <c r="C5" s="7">
        <f>Data!F5</f>
        <v>620116</v>
      </c>
      <c r="D5" s="7">
        <f>IF(Data!D5="Malawi", 1, 0)</f>
        <v>1</v>
      </c>
      <c r="E5" s="7">
        <f t="shared" si="0"/>
        <v>1</v>
      </c>
      <c r="F5" s="7">
        <f t="shared" si="1"/>
        <v>1</v>
      </c>
      <c r="G5" s="10">
        <f>Data!L5</f>
        <v>0.67451715781183996</v>
      </c>
      <c r="H5" s="10">
        <f t="shared" si="2"/>
        <v>0.67451715781183996</v>
      </c>
      <c r="I5" s="10">
        <f>Data!H5</f>
        <v>0.744436974789916</v>
      </c>
      <c r="J5" s="10">
        <f>Data!I5</f>
        <v>0.84960000000000002</v>
      </c>
      <c r="K5" s="10">
        <f t="shared" si="3"/>
        <v>0.77866573512839921</v>
      </c>
      <c r="L5" s="10">
        <f>Data!J5</f>
        <v>0.24915465712547302</v>
      </c>
      <c r="M5" s="21"/>
      <c r="N5" s="21">
        <f>Data!M5</f>
        <v>171.87290954589844</v>
      </c>
      <c r="O5" s="21">
        <f>Data!N5</f>
        <v>171.87290954589844</v>
      </c>
      <c r="P5" s="10">
        <f>Data!O5</f>
        <v>2.5100000000000001E-2</v>
      </c>
      <c r="Q5" s="10">
        <f t="shared" si="4"/>
        <v>2.5100000000000001E-2</v>
      </c>
      <c r="R5" s="10"/>
      <c r="S5" s="10"/>
      <c r="W5" s="18"/>
      <c r="X5" s="16"/>
      <c r="Y5" s="9"/>
      <c r="Z5" s="2"/>
    </row>
    <row r="6" spans="1:30" x14ac:dyDescent="0.25">
      <c r="A6" s="7">
        <f>Data!A6</f>
        <v>202502</v>
      </c>
      <c r="B6" s="7">
        <v>71360</v>
      </c>
      <c r="C6" s="7">
        <f>Data!F6</f>
        <v>1527395</v>
      </c>
      <c r="D6" s="7">
        <f>IF(Data!D6="Malawi", 1, 0)</f>
        <v>1</v>
      </c>
      <c r="E6" s="7">
        <f t="shared" si="0"/>
        <v>1</v>
      </c>
      <c r="F6" s="7">
        <f t="shared" si="1"/>
        <v>1</v>
      </c>
      <c r="G6" s="10">
        <f>Data!L6</f>
        <v>0.89075891461656498</v>
      </c>
      <c r="H6" s="10">
        <f t="shared" si="2"/>
        <v>0.89075891461656498</v>
      </c>
      <c r="I6" s="10">
        <f>Data!H6</f>
        <v>0.74396385864932657</v>
      </c>
      <c r="J6" s="10">
        <f>Data!I6</f>
        <v>0.77539999999999998</v>
      </c>
      <c r="K6" s="10">
        <f t="shared" si="3"/>
        <v>0.74739797685074116</v>
      </c>
      <c r="L6" s="10">
        <f>Data!J6</f>
        <v>0.20897936820983887</v>
      </c>
      <c r="M6" s="21"/>
      <c r="N6" s="21">
        <f>Data!M6</f>
        <v>136.20162963867188</v>
      </c>
      <c r="O6" s="21">
        <f>Data!N6</f>
        <v>136.20162963867188</v>
      </c>
      <c r="P6" s="10">
        <f>Data!O6</f>
        <v>0.10059999999999999</v>
      </c>
      <c r="Q6" s="10">
        <f t="shared" si="4"/>
        <v>0.10059999999999999</v>
      </c>
      <c r="R6" s="10"/>
      <c r="S6" s="10"/>
      <c r="W6" s="17"/>
      <c r="X6" s="16"/>
      <c r="Y6" s="9"/>
      <c r="Z6" s="2"/>
    </row>
    <row r="7" spans="1:30" x14ac:dyDescent="0.25">
      <c r="A7" s="7">
        <f>Data!A7</f>
        <v>202501</v>
      </c>
      <c r="B7" s="7">
        <v>71360</v>
      </c>
      <c r="C7" s="7">
        <f>Data!F7</f>
        <v>7723174</v>
      </c>
      <c r="D7" s="7">
        <f>IF(Data!D7="Malawi", 1, 0)</f>
        <v>1</v>
      </c>
      <c r="E7" s="7">
        <f t="shared" si="0"/>
        <v>1</v>
      </c>
      <c r="F7" s="7">
        <f t="shared" si="1"/>
        <v>1</v>
      </c>
      <c r="G7" s="10">
        <f>Data!L7</f>
        <v>0.98172230100455504</v>
      </c>
      <c r="H7" s="10">
        <f t="shared" si="2"/>
        <v>0.98172230100455504</v>
      </c>
      <c r="I7" s="10">
        <f>Data!H7</f>
        <v>0.86441570709693594</v>
      </c>
      <c r="J7" s="10">
        <f>Data!I7</f>
        <v>0.86439999999999995</v>
      </c>
      <c r="K7" s="10">
        <f t="shared" si="3"/>
        <v>0.86441542000734606</v>
      </c>
      <c r="L7" s="10">
        <f>Data!J7</f>
        <v>0.23840893805027008</v>
      </c>
      <c r="M7" s="21"/>
      <c r="N7" s="21">
        <f>Data!M7</f>
        <v>112.32621765136719</v>
      </c>
      <c r="O7" s="21">
        <f>Data!N7</f>
        <v>112.32621765136719</v>
      </c>
      <c r="P7" s="10">
        <f>Data!O7</f>
        <v>0.15939999999999999</v>
      </c>
      <c r="Q7" s="10">
        <f t="shared" si="4"/>
        <v>0.15939999999999999</v>
      </c>
      <c r="R7" s="10"/>
      <c r="S7" s="10"/>
      <c r="W7" s="17"/>
      <c r="X7" s="16"/>
      <c r="Y7" s="9"/>
      <c r="Z7" s="2"/>
    </row>
    <row r="8" spans="1:30" x14ac:dyDescent="0.25">
      <c r="A8" s="7">
        <f>Data!A8</f>
        <v>202412</v>
      </c>
      <c r="B8" s="7">
        <v>71360</v>
      </c>
      <c r="C8" s="7">
        <f>Data!F8</f>
        <v>9465712</v>
      </c>
      <c r="D8" s="7">
        <f>IF(Data!D8="Malawi", 1, 0)</f>
        <v>1</v>
      </c>
      <c r="E8" s="7">
        <f t="shared" si="0"/>
        <v>1</v>
      </c>
      <c r="F8" s="7">
        <f t="shared" si="1"/>
        <v>1</v>
      </c>
      <c r="G8" s="10">
        <f>Data!L8</f>
        <v>0.98550885183788495</v>
      </c>
      <c r="H8" s="10">
        <f t="shared" si="2"/>
        <v>0.98550885183788495</v>
      </c>
      <c r="I8" s="10">
        <f>Data!H8</f>
        <v>0.89415156452946043</v>
      </c>
      <c r="J8" s="10">
        <f>Data!I8</f>
        <v>0.89939999999999998</v>
      </c>
      <c r="K8" s="10">
        <f t="shared" si="3"/>
        <v>0.89422762038548331</v>
      </c>
      <c r="L8" s="10">
        <f>Data!J8</f>
        <v>0.19472841918468475</v>
      </c>
      <c r="M8" s="21">
        <f>Data!K8</f>
        <v>520.1</v>
      </c>
      <c r="N8" s="21">
        <f>Data!M8</f>
        <v>141.9027099609375</v>
      </c>
      <c r="O8" s="21">
        <f>Data!N8</f>
        <v>141.9027099609375</v>
      </c>
      <c r="P8" s="10">
        <f>Data!O8</f>
        <v>9.4700000000000006E-2</v>
      </c>
      <c r="Q8" s="10">
        <f t="shared" si="4"/>
        <v>9.4700000000000006E-2</v>
      </c>
      <c r="R8" s="10"/>
      <c r="S8" s="10"/>
      <c r="W8" s="17"/>
      <c r="X8" s="16"/>
      <c r="Y8" s="9"/>
      <c r="Z8" s="2"/>
    </row>
    <row r="9" spans="1:30" x14ac:dyDescent="0.25">
      <c r="A9" s="7">
        <f>Data!A9</f>
        <v>202411</v>
      </c>
      <c r="B9" s="7">
        <v>71360</v>
      </c>
      <c r="C9" s="7">
        <f>Data!F9</f>
        <v>12683154</v>
      </c>
      <c r="D9" s="7">
        <f>IF(Data!D9="Malawi", 1, 0)</f>
        <v>1</v>
      </c>
      <c r="E9" s="7">
        <f t="shared" si="0"/>
        <v>1</v>
      </c>
      <c r="F9" s="7">
        <f t="shared" si="1"/>
        <v>1</v>
      </c>
      <c r="G9" s="10">
        <f>Data!L9</f>
        <v>0.98028706302667601</v>
      </c>
      <c r="H9" s="10">
        <f t="shared" si="2"/>
        <v>0.98028706302667601</v>
      </c>
      <c r="I9" s="10">
        <f>Data!H9</f>
        <v>0.90948004732709475</v>
      </c>
      <c r="J9" s="10">
        <f>Data!I9</f>
        <v>0.91469999999999996</v>
      </c>
      <c r="K9" s="10">
        <f t="shared" si="3"/>
        <v>0.9095829479251395</v>
      </c>
      <c r="L9" s="10">
        <f>Data!J9</f>
        <v>0.18260814249515533</v>
      </c>
      <c r="M9" s="21">
        <f>Data!K9</f>
        <v>520.1</v>
      </c>
      <c r="N9" s="21">
        <f>Data!M9</f>
        <v>128.48176574707031</v>
      </c>
      <c r="O9" s="21">
        <f>Data!N9</f>
        <v>128.48176574707031</v>
      </c>
      <c r="P9" s="10">
        <f>Data!O9</f>
        <v>7.5399999999999995E-2</v>
      </c>
      <c r="Q9" s="10">
        <f t="shared" si="4"/>
        <v>7.5399999999999995E-2</v>
      </c>
      <c r="R9" s="10"/>
      <c r="S9" s="10"/>
      <c r="W9" s="17"/>
      <c r="X9" s="16"/>
      <c r="Y9" s="9"/>
      <c r="Z9" s="2"/>
    </row>
    <row r="10" spans="1:30" x14ac:dyDescent="0.25">
      <c r="A10" s="7">
        <f>Data!A10</f>
        <v>202410</v>
      </c>
      <c r="B10" s="7">
        <v>71360</v>
      </c>
      <c r="C10" s="7">
        <f>Data!F10</f>
        <v>16695451</v>
      </c>
      <c r="D10" s="7">
        <f>IF(Data!D10="Malawi", 1, 0)</f>
        <v>1</v>
      </c>
      <c r="E10" s="7">
        <f t="shared" si="0"/>
        <v>1</v>
      </c>
      <c r="F10" s="7">
        <f t="shared" si="1"/>
        <v>1</v>
      </c>
      <c r="G10" s="10">
        <f>Data!L10</f>
        <v>0.99106845572198499</v>
      </c>
      <c r="H10" s="10">
        <f t="shared" si="2"/>
        <v>0.99106845572198499</v>
      </c>
      <c r="I10" s="10">
        <f>Data!H10</f>
        <v>0.98250147121133657</v>
      </c>
      <c r="J10" s="10">
        <f>Data!I10</f>
        <v>0.9839</v>
      </c>
      <c r="K10" s="10">
        <f t="shared" si="3"/>
        <v>0.9825139622331367</v>
      </c>
      <c r="L10" s="10">
        <f>Data!J10</f>
        <v>0.26585879921913147</v>
      </c>
      <c r="M10" s="21">
        <f>Data!K10</f>
        <v>520.1</v>
      </c>
      <c r="N10" s="21">
        <f>Data!M10</f>
        <v>130.689208984375</v>
      </c>
      <c r="O10" s="21">
        <f>Data!N10</f>
        <v>130.689208984375</v>
      </c>
      <c r="P10" s="10">
        <f>Data!O10</f>
        <v>6.6900000000000001E-2</v>
      </c>
      <c r="Q10" s="10">
        <f t="shared" si="4"/>
        <v>6.6900000000000001E-2</v>
      </c>
      <c r="R10" s="10"/>
      <c r="S10" s="10"/>
      <c r="W10" s="17"/>
      <c r="X10" s="16"/>
      <c r="Y10" s="9"/>
      <c r="Z10" s="2"/>
    </row>
    <row r="11" spans="1:30" x14ac:dyDescent="0.25">
      <c r="A11" s="7">
        <f>Data!A11</f>
        <v>202409</v>
      </c>
      <c r="B11" s="7">
        <v>71360</v>
      </c>
      <c r="C11" s="7">
        <f>Data!F11</f>
        <v>14571423</v>
      </c>
      <c r="D11" s="7">
        <f>IF(Data!D11="Malawi", 1, 0)</f>
        <v>1</v>
      </c>
      <c r="E11" s="7">
        <f t="shared" si="0"/>
        <v>1</v>
      </c>
      <c r="F11" s="7">
        <f t="shared" si="1"/>
        <v>1</v>
      </c>
      <c r="G11" s="10">
        <f>Data!L11</f>
        <v>0.97462855529941805</v>
      </c>
      <c r="H11" s="10">
        <f t="shared" si="2"/>
        <v>0.97462855529941805</v>
      </c>
      <c r="I11" s="10">
        <f>Data!H11</f>
        <v>1.0639958378970427</v>
      </c>
      <c r="J11" s="10">
        <f>Data!I11</f>
        <v>1.0640000000000001</v>
      </c>
      <c r="K11" s="10">
        <f t="shared" si="3"/>
        <v>1.0639959434956077</v>
      </c>
      <c r="L11" s="10">
        <f>Data!J11</f>
        <v>0.16914969682693481</v>
      </c>
      <c r="M11" s="21">
        <f>Data!K11</f>
        <v>520.1</v>
      </c>
      <c r="N11" s="21">
        <f>Data!M11</f>
        <v>130.14187622070313</v>
      </c>
      <c r="O11" s="21">
        <f>Data!N11</f>
        <v>130.14187622070313</v>
      </c>
      <c r="P11" s="10">
        <f>Data!O11</f>
        <v>6.8900000000000003E-2</v>
      </c>
      <c r="Q11" s="10">
        <f t="shared" si="4"/>
        <v>6.8900000000000003E-2</v>
      </c>
      <c r="R11" s="10"/>
      <c r="S11" s="10"/>
      <c r="W11" s="17"/>
      <c r="X11" s="16"/>
    </row>
    <row r="12" spans="1:30" x14ac:dyDescent="0.25">
      <c r="A12" s="7">
        <f>Data!A12</f>
        <v>202408</v>
      </c>
      <c r="B12" s="7">
        <v>71360</v>
      </c>
      <c r="C12" s="7">
        <f>Data!F12</f>
        <v>3240866</v>
      </c>
      <c r="D12" s="7">
        <f>IF(Data!D12="Malawi", 1, 0)</f>
        <v>1</v>
      </c>
      <c r="E12" s="7">
        <f t="shared" si="0"/>
        <v>1</v>
      </c>
      <c r="F12" s="7">
        <f t="shared" si="1"/>
        <v>1</v>
      </c>
      <c r="G12" s="10">
        <f>Data!L12</f>
        <v>0.97976568695116395</v>
      </c>
      <c r="H12" s="10">
        <f t="shared" si="2"/>
        <v>0.97976568695116395</v>
      </c>
      <c r="I12" s="10">
        <f>Data!H12</f>
        <v>1.1415479339628956</v>
      </c>
      <c r="J12" s="10">
        <f>Data!I12</f>
        <v>1.1498999999999999</v>
      </c>
      <c r="K12" s="10">
        <f t="shared" si="3"/>
        <v>1.1417169322816949</v>
      </c>
      <c r="L12" s="10">
        <f>Data!J12</f>
        <v>0.2278769463300705</v>
      </c>
      <c r="M12" s="21">
        <f>Data!K12</f>
        <v>520.1</v>
      </c>
      <c r="N12" s="21">
        <f>Data!M12</f>
        <v>140.76402282714844</v>
      </c>
      <c r="O12" s="21">
        <f>Data!N12</f>
        <v>140.76402282714844</v>
      </c>
      <c r="P12" s="10">
        <f>Data!O12</f>
        <v>2.87E-2</v>
      </c>
      <c r="Q12" s="10">
        <f t="shared" si="4"/>
        <v>2.87E-2</v>
      </c>
      <c r="R12" s="10"/>
      <c r="S12" s="10"/>
      <c r="W12" s="17"/>
      <c r="X12" s="16"/>
    </row>
    <row r="13" spans="1:30" x14ac:dyDescent="0.25">
      <c r="A13" s="7">
        <f>Data!A13</f>
        <v>202407</v>
      </c>
      <c r="B13" s="7">
        <v>71360</v>
      </c>
      <c r="C13" s="7">
        <f>Data!F13</f>
        <v>1486642</v>
      </c>
      <c r="D13" s="7">
        <f>IF(Data!D13="Malawi", 1, 0)</f>
        <v>1</v>
      </c>
      <c r="E13" s="7">
        <f t="shared" si="0"/>
        <v>1</v>
      </c>
      <c r="F13" s="7">
        <f t="shared" si="1"/>
        <v>1</v>
      </c>
      <c r="G13" s="10">
        <f>Data!L13</f>
        <v>0.87212721222844303</v>
      </c>
      <c r="H13" s="10">
        <f t="shared" si="2"/>
        <v>0.87212721222844303</v>
      </c>
      <c r="I13" s="10">
        <f>Data!H13</f>
        <v>1.3832444754594091</v>
      </c>
      <c r="J13" s="10">
        <f>Data!I13</f>
        <v>1.4238</v>
      </c>
      <c r="K13" s="10">
        <f t="shared" si="3"/>
        <v>1.3884304234419522</v>
      </c>
      <c r="L13" s="10">
        <f>Data!J13</f>
        <v>0.16011823713779449</v>
      </c>
      <c r="M13" s="21">
        <f>Data!K13</f>
        <v>520.1</v>
      </c>
      <c r="N13" s="21">
        <f>Data!M13</f>
        <v>92.394874572753906</v>
      </c>
      <c r="O13" s="21">
        <f>Data!N13</f>
        <v>92.394874572753906</v>
      </c>
      <c r="P13" s="10">
        <f>Data!O13</f>
        <v>1.5900000000000001E-2</v>
      </c>
      <c r="Q13" s="10">
        <f t="shared" si="4"/>
        <v>1.5900000000000001E-2</v>
      </c>
      <c r="R13" s="10"/>
      <c r="S13" s="10"/>
      <c r="W13" s="17"/>
      <c r="X13" s="16"/>
    </row>
    <row r="14" spans="1:30" x14ac:dyDescent="0.25">
      <c r="A14" s="7">
        <f>Data!A14</f>
        <v>202406</v>
      </c>
      <c r="B14" s="7">
        <v>71360</v>
      </c>
      <c r="C14" s="7">
        <f>Data!F14</f>
        <v>1925836</v>
      </c>
      <c r="D14" s="7">
        <f>IF(Data!D14="Malawi", 1, 0)</f>
        <v>1</v>
      </c>
      <c r="E14" s="7">
        <f t="shared" si="0"/>
        <v>1</v>
      </c>
      <c r="F14" s="7">
        <f t="shared" si="1"/>
        <v>1</v>
      </c>
      <c r="G14" s="10">
        <f>Data!L14</f>
        <v>0.90124153551690001</v>
      </c>
      <c r="H14" s="10">
        <f t="shared" si="2"/>
        <v>0.90124153551690001</v>
      </c>
      <c r="I14" s="10">
        <f>Data!H14</f>
        <v>1.2066868424845079</v>
      </c>
      <c r="J14" s="10">
        <f>Data!I14</f>
        <v>1.2453000000000001</v>
      </c>
      <c r="K14" s="10">
        <f t="shared" si="3"/>
        <v>1.2105002186295819</v>
      </c>
      <c r="L14" s="10">
        <f>Data!J14</f>
        <v>0.19021050631999969</v>
      </c>
      <c r="M14" s="21">
        <f>Data!K14</f>
        <v>520.1</v>
      </c>
      <c r="N14" s="21">
        <f>Data!M14</f>
        <v>112.88140869140625</v>
      </c>
      <c r="O14" s="21">
        <f>Data!N14</f>
        <v>112.88140869140625</v>
      </c>
      <c r="P14" s="10">
        <f>Data!O14</f>
        <v>1.7000000000000001E-2</v>
      </c>
      <c r="Q14" s="10">
        <f t="shared" si="4"/>
        <v>1.7000000000000001E-2</v>
      </c>
      <c r="R14" s="10"/>
      <c r="S14" s="10"/>
      <c r="W14" s="17"/>
      <c r="X14" s="16"/>
    </row>
    <row r="15" spans="1:30" x14ac:dyDescent="0.25">
      <c r="A15" s="7">
        <f>Data!A15</f>
        <v>202405</v>
      </c>
      <c r="B15" s="7">
        <v>71360</v>
      </c>
      <c r="C15" s="7">
        <f>Data!F15</f>
        <v>2257265</v>
      </c>
      <c r="D15" s="7">
        <f>IF(Data!D15="Malawi", 1, 0)</f>
        <v>1</v>
      </c>
      <c r="E15" s="7">
        <f t="shared" si="0"/>
        <v>1</v>
      </c>
      <c r="F15" s="7">
        <f t="shared" si="1"/>
        <v>1</v>
      </c>
      <c r="G15" s="10">
        <f>Data!L15</f>
        <v>0.83005749780834603</v>
      </c>
      <c r="H15" s="10">
        <f t="shared" si="2"/>
        <v>0.83005749780834603</v>
      </c>
      <c r="I15" s="10">
        <f>Data!H15</f>
        <v>1.1736782720825274</v>
      </c>
      <c r="J15" s="10">
        <f>Data!I15</f>
        <v>1.2331000000000001</v>
      </c>
      <c r="K15" s="10">
        <f t="shared" si="3"/>
        <v>1.1837765492093744</v>
      </c>
      <c r="L15" s="10">
        <f>Data!J15</f>
        <v>0.13457304239273071</v>
      </c>
      <c r="M15" s="21">
        <f>Data!K15</f>
        <v>520.1</v>
      </c>
      <c r="N15" s="21">
        <f>Data!M15</f>
        <v>130.52186584472656</v>
      </c>
      <c r="O15" s="21">
        <f>Data!N15</f>
        <v>130.52186584472656</v>
      </c>
      <c r="P15" s="10">
        <f>Data!O15</f>
        <v>2.9399999999999999E-2</v>
      </c>
      <c r="Q15" s="10">
        <f t="shared" si="4"/>
        <v>2.9399999999999999E-2</v>
      </c>
      <c r="R15" s="10"/>
      <c r="S15" s="10"/>
      <c r="W15" s="17"/>
      <c r="X15" s="16"/>
    </row>
    <row r="16" spans="1:30" x14ac:dyDescent="0.25">
      <c r="A16" s="7">
        <f>Data!A16</f>
        <v>202404</v>
      </c>
      <c r="B16" s="7">
        <v>71360</v>
      </c>
      <c r="C16" s="7">
        <f>Data!F16</f>
        <v>5434472</v>
      </c>
      <c r="D16" s="7">
        <f>IF(Data!D16="Malawi", 1, 0)</f>
        <v>1</v>
      </c>
      <c r="E16" s="7">
        <f t="shared" si="0"/>
        <v>1</v>
      </c>
      <c r="F16" s="7">
        <f t="shared" si="1"/>
        <v>1</v>
      </c>
      <c r="G16" s="10">
        <f>Data!L16</f>
        <v>0.98879145572067295</v>
      </c>
      <c r="H16" s="10">
        <f t="shared" si="2"/>
        <v>0.98879145572067295</v>
      </c>
      <c r="I16" s="10">
        <f>Data!H16</f>
        <v>0.9773368893748573</v>
      </c>
      <c r="J16" s="10">
        <f>Data!I16</f>
        <v>0.98240000000000005</v>
      </c>
      <c r="K16" s="10">
        <f t="shared" si="3"/>
        <v>0.97739363947449032</v>
      </c>
      <c r="L16" s="10">
        <f>Data!J16</f>
        <v>0.24681982398033142</v>
      </c>
      <c r="M16" s="21">
        <f>Data!K16</f>
        <v>520.1</v>
      </c>
      <c r="N16" s="21">
        <f>Data!M16</f>
        <v>163.73634338378906</v>
      </c>
      <c r="O16" s="21">
        <f>Data!N16</f>
        <v>163.73634338378906</v>
      </c>
      <c r="P16" s="10">
        <f>Data!O16</f>
        <v>7.3899999999999993E-2</v>
      </c>
      <c r="Q16" s="10">
        <f t="shared" si="4"/>
        <v>7.3899999999999993E-2</v>
      </c>
      <c r="R16" s="10"/>
      <c r="S16" s="10"/>
      <c r="W16" s="17"/>
      <c r="X16" s="16"/>
    </row>
    <row r="17" spans="1:26" x14ac:dyDescent="0.25">
      <c r="A17" s="7">
        <f>Data!A17</f>
        <v>202403</v>
      </c>
      <c r="B17" s="7">
        <v>71360</v>
      </c>
      <c r="C17" s="7">
        <f>Data!F17</f>
        <v>1358609</v>
      </c>
      <c r="D17" s="7">
        <f>IF(Data!D17="Malawi", 1, 0)</f>
        <v>1</v>
      </c>
      <c r="E17" s="7">
        <f t="shared" si="0"/>
        <v>1</v>
      </c>
      <c r="F17" s="7">
        <f t="shared" si="1"/>
        <v>1</v>
      </c>
      <c r="G17" s="10">
        <f>Data!L17</f>
        <v>0.92399940966717597</v>
      </c>
      <c r="H17" s="10">
        <f t="shared" si="2"/>
        <v>0.92399940966717597</v>
      </c>
      <c r="I17" s="10">
        <f>Data!H17</f>
        <v>1.1090866789661873</v>
      </c>
      <c r="J17" s="10">
        <f>Data!I17</f>
        <v>1.1387</v>
      </c>
      <c r="K17" s="10">
        <f t="shared" si="3"/>
        <v>1.1113373088464726</v>
      </c>
      <c r="L17" s="10">
        <f>Data!J17</f>
        <v>0.23973444104194641</v>
      </c>
      <c r="M17" s="21">
        <f>Data!K17</f>
        <v>520.1</v>
      </c>
      <c r="N17" s="21">
        <f>Data!M17</f>
        <v>133.21316528320313</v>
      </c>
      <c r="O17" s="21">
        <f>Data!N17</f>
        <v>133.21316528320313</v>
      </c>
      <c r="P17" s="10">
        <f>Data!O17</f>
        <v>2.5100000000000001E-2</v>
      </c>
      <c r="Q17" s="10">
        <f t="shared" si="4"/>
        <v>2.5100000000000001E-2</v>
      </c>
      <c r="R17" s="10"/>
      <c r="S17" s="10"/>
      <c r="W17" s="17"/>
      <c r="X17" s="16"/>
    </row>
    <row r="18" spans="1:26" x14ac:dyDescent="0.25">
      <c r="A18" s="7">
        <f>Data!A18</f>
        <v>202402</v>
      </c>
      <c r="B18" s="7">
        <v>71360</v>
      </c>
      <c r="C18" s="7">
        <f>Data!F18</f>
        <v>2989384</v>
      </c>
      <c r="D18" s="7">
        <f>IF(Data!D18="Malawi", 1, 0)</f>
        <v>1</v>
      </c>
      <c r="E18" s="7">
        <f t="shared" si="0"/>
        <v>1</v>
      </c>
      <c r="F18" s="7">
        <f t="shared" si="1"/>
        <v>1</v>
      </c>
      <c r="G18" s="10">
        <f>Data!L18</f>
        <v>0.99787332408691598</v>
      </c>
      <c r="H18" s="10">
        <f t="shared" si="2"/>
        <v>0.99787332408691598</v>
      </c>
      <c r="I18" s="10">
        <f>Data!H18</f>
        <v>0.94901079365079366</v>
      </c>
      <c r="J18" s="10">
        <f>Data!I18</f>
        <v>0.95050000000000001</v>
      </c>
      <c r="K18" s="10">
        <f t="shared" si="3"/>
        <v>0.94901396071006605</v>
      </c>
      <c r="L18" s="10">
        <f>Data!J18</f>
        <v>0.21592618525028229</v>
      </c>
      <c r="M18" s="21">
        <f>Data!K18</f>
        <v>520.1</v>
      </c>
      <c r="N18" s="21">
        <f>Data!M18</f>
        <v>146.59817504882813</v>
      </c>
      <c r="O18" s="21">
        <f>Data!N18</f>
        <v>146.59817504882813</v>
      </c>
      <c r="P18" s="10">
        <f>Data!O18</f>
        <v>5.74E-2</v>
      </c>
      <c r="Q18" s="10">
        <f t="shared" si="4"/>
        <v>5.74E-2</v>
      </c>
      <c r="R18" s="10"/>
      <c r="S18" s="10"/>
      <c r="W18" s="17"/>
      <c r="X18" s="16"/>
    </row>
    <row r="19" spans="1:26" x14ac:dyDescent="0.25">
      <c r="A19" s="7">
        <f>Data!A19</f>
        <v>202401</v>
      </c>
      <c r="B19" s="7">
        <v>71360</v>
      </c>
      <c r="C19" s="7">
        <f>Data!F19</f>
        <v>5517690</v>
      </c>
      <c r="D19" s="7">
        <f>IF(Data!D19="Malawi", 1, 0)</f>
        <v>1</v>
      </c>
      <c r="E19" s="7">
        <f t="shared" si="0"/>
        <v>1</v>
      </c>
      <c r="F19" s="7">
        <f t="shared" si="1"/>
        <v>1</v>
      </c>
      <c r="G19" s="10">
        <f>Data!L19</f>
        <v>0.96351549595634201</v>
      </c>
      <c r="H19" s="10">
        <f t="shared" si="2"/>
        <v>0.96351549595634201</v>
      </c>
      <c r="I19" s="10">
        <f>Data!H19</f>
        <v>0.93951710398610566</v>
      </c>
      <c r="J19" s="10">
        <f>Data!I19</f>
        <v>0.9506</v>
      </c>
      <c r="K19" s="10">
        <f t="shared" si="3"/>
        <v>0.93992145795053994</v>
      </c>
      <c r="L19" s="10">
        <f>Data!J19</f>
        <v>0.27558562159538269</v>
      </c>
      <c r="M19" s="21">
        <f>Data!K19</f>
        <v>520.1</v>
      </c>
      <c r="N19" s="21">
        <f>Data!M19</f>
        <v>160.16484069824219</v>
      </c>
      <c r="O19" s="21">
        <f>Data!N19</f>
        <v>160.16484069824219</v>
      </c>
      <c r="P19" s="10">
        <f>Data!O19</f>
        <v>0.1091</v>
      </c>
      <c r="Q19" s="10">
        <f t="shared" si="4"/>
        <v>0.1091</v>
      </c>
      <c r="R19" s="10"/>
      <c r="S19" s="10"/>
      <c r="W19" s="17"/>
      <c r="X19" s="16"/>
    </row>
    <row r="20" spans="1:26" x14ac:dyDescent="0.25">
      <c r="A20" s="7">
        <f>Data!A20</f>
        <v>202312</v>
      </c>
      <c r="B20" s="7">
        <v>71360</v>
      </c>
      <c r="C20" s="7">
        <f>Data!F20</f>
        <v>4208236</v>
      </c>
      <c r="D20" s="7">
        <f>IF(Data!D20="Malawi", 1, 0)</f>
        <v>1</v>
      </c>
      <c r="E20" s="7">
        <f t="shared" si="0"/>
        <v>1</v>
      </c>
      <c r="F20" s="7">
        <f t="shared" si="1"/>
        <v>1</v>
      </c>
      <c r="G20" s="10">
        <f>Data!L20</f>
        <v>0.98892991704781497</v>
      </c>
      <c r="H20" s="10">
        <f t="shared" si="2"/>
        <v>0.98892991704781497</v>
      </c>
      <c r="I20" s="10">
        <f>Data!H20</f>
        <v>1.0888118437870313</v>
      </c>
      <c r="J20" s="10">
        <f>Data!I20</f>
        <v>1.0912999999999999</v>
      </c>
      <c r="K20" s="10">
        <f t="shared" si="3"/>
        <v>1.088839387882707</v>
      </c>
      <c r="L20" s="10">
        <f>Data!J20</f>
        <v>0.22528322041034698</v>
      </c>
      <c r="M20" s="21">
        <f>Data!K20</f>
        <v>533.79999999999995</v>
      </c>
      <c r="N20" s="21">
        <f>Data!M20</f>
        <v>142.27946472167969</v>
      </c>
      <c r="O20" s="21">
        <f>Data!N20</f>
        <v>142.27946472167969</v>
      </c>
      <c r="P20" s="10">
        <f>Data!O20</f>
        <v>4.9599999999999998E-2</v>
      </c>
      <c r="Q20" s="10">
        <f t="shared" si="4"/>
        <v>4.9599999999999998E-2</v>
      </c>
      <c r="R20" s="10">
        <f>Data!Q20</f>
        <v>-0.24</v>
      </c>
      <c r="S20" s="10">
        <f>Data!P20</f>
        <v>-0.64</v>
      </c>
      <c r="W20" s="17"/>
      <c r="X20" s="16"/>
    </row>
    <row r="21" spans="1:26" x14ac:dyDescent="0.25">
      <c r="A21" s="7">
        <f>Data!A21</f>
        <v>202311</v>
      </c>
      <c r="B21" s="7">
        <v>71360</v>
      </c>
      <c r="C21" s="7">
        <f>Data!F21</f>
        <v>9556578</v>
      </c>
      <c r="D21" s="7">
        <f>IF(Data!D21="Malawi", 1, 0)</f>
        <v>1</v>
      </c>
      <c r="E21" s="7">
        <f t="shared" si="0"/>
        <v>1</v>
      </c>
      <c r="F21" s="7">
        <f t="shared" si="1"/>
        <v>1</v>
      </c>
      <c r="G21" s="10">
        <f>Data!L21</f>
        <v>0.98364769179969802</v>
      </c>
      <c r="H21" s="10">
        <f t="shared" si="2"/>
        <v>0.98364769179969802</v>
      </c>
      <c r="I21" s="10">
        <f>Data!H21</f>
        <v>0.90361414341028468</v>
      </c>
      <c r="J21" s="10">
        <f>Data!I21</f>
        <v>0.90959999999999996</v>
      </c>
      <c r="K21" s="10">
        <f t="shared" si="3"/>
        <v>0.90371202598208256</v>
      </c>
      <c r="L21" s="10">
        <f>Data!J21</f>
        <v>0.25032857060432434</v>
      </c>
      <c r="M21" s="21">
        <f>Data!K21</f>
        <v>533.79999999999995</v>
      </c>
      <c r="N21" s="21">
        <f>Data!M21</f>
        <v>156.69613647460938</v>
      </c>
      <c r="O21" s="21">
        <f>Data!N21</f>
        <v>156.69613647460938</v>
      </c>
      <c r="P21" s="10">
        <f>Data!O21</f>
        <v>8.6900000000000005E-2</v>
      </c>
      <c r="Q21" s="10">
        <f t="shared" si="4"/>
        <v>8.6900000000000005E-2</v>
      </c>
      <c r="R21" s="10">
        <f>Data!Q21</f>
        <v>-0.24</v>
      </c>
      <c r="S21" s="10">
        <f>Data!P21</f>
        <v>-0.64</v>
      </c>
      <c r="W21" s="17"/>
      <c r="X21" s="16"/>
      <c r="Y21" s="9"/>
      <c r="Z21" s="2"/>
    </row>
    <row r="22" spans="1:26" x14ac:dyDescent="0.25">
      <c r="A22" s="7">
        <f>Data!A22</f>
        <v>202310</v>
      </c>
      <c r="B22" s="7">
        <v>71360</v>
      </c>
      <c r="C22" s="7">
        <f>Data!F22</f>
        <v>15388599</v>
      </c>
      <c r="D22" s="7">
        <f>IF(Data!D22="Malawi", 1, 0)</f>
        <v>1</v>
      </c>
      <c r="E22" s="7">
        <f t="shared" si="0"/>
        <v>1</v>
      </c>
      <c r="F22" s="7">
        <f t="shared" si="1"/>
        <v>1</v>
      </c>
      <c r="G22" s="10">
        <f>Data!L22</f>
        <v>0.98686927524430101</v>
      </c>
      <c r="H22" s="10">
        <f t="shared" si="2"/>
        <v>0.98686927524430101</v>
      </c>
      <c r="I22" s="10">
        <f>Data!H22</f>
        <v>0.94168251578792772</v>
      </c>
      <c r="J22" s="10">
        <f>Data!I22</f>
        <v>0.93089999999999995</v>
      </c>
      <c r="K22" s="10">
        <f t="shared" si="3"/>
        <v>0.94154093354094237</v>
      </c>
      <c r="L22" s="10">
        <f>Data!J22</f>
        <v>0.22093509137630463</v>
      </c>
      <c r="M22" s="21">
        <f>Data!K22</f>
        <v>533.79999999999995</v>
      </c>
      <c r="N22" s="21">
        <f>Data!M22</f>
        <v>197.88700866699219</v>
      </c>
      <c r="O22" s="21">
        <f>Data!N22</f>
        <v>197.88700866699219</v>
      </c>
      <c r="P22" s="10">
        <f>Data!O22</f>
        <v>9.11E-2</v>
      </c>
      <c r="Q22" s="10">
        <f t="shared" si="4"/>
        <v>9.11E-2</v>
      </c>
      <c r="R22" s="10">
        <f>Data!Q22</f>
        <v>-0.24</v>
      </c>
      <c r="S22" s="10">
        <f>Data!P22</f>
        <v>-0.64</v>
      </c>
      <c r="W22" s="17"/>
      <c r="X22" s="16"/>
      <c r="Y22" s="9"/>
      <c r="Z22" s="1"/>
    </row>
    <row r="23" spans="1:26" x14ac:dyDescent="0.25">
      <c r="A23" s="7">
        <f>Data!A23</f>
        <v>202309</v>
      </c>
      <c r="B23" s="7">
        <v>71360</v>
      </c>
      <c r="C23" s="7">
        <f>Data!F23</f>
        <v>4399603</v>
      </c>
      <c r="D23" s="7">
        <f>IF(Data!D23="Malawi", 1, 0)</f>
        <v>1</v>
      </c>
      <c r="E23" s="7">
        <f t="shared" si="0"/>
        <v>1</v>
      </c>
      <c r="F23" s="7">
        <f t="shared" si="1"/>
        <v>1</v>
      </c>
      <c r="G23" s="10">
        <f>Data!L23</f>
        <v>0.94058474161195205</v>
      </c>
      <c r="H23" s="10">
        <f t="shared" si="2"/>
        <v>0.94058474161195205</v>
      </c>
      <c r="I23" s="10">
        <f>Data!H23</f>
        <v>0.88434053398887635</v>
      </c>
      <c r="J23" s="10">
        <f>Data!I23</f>
        <v>0.88859999999999995</v>
      </c>
      <c r="K23" s="10">
        <f t="shared" si="3"/>
        <v>0.88459361126252234</v>
      </c>
      <c r="L23" s="10">
        <f>Data!J23</f>
        <v>0.45979791879653931</v>
      </c>
      <c r="M23" s="21">
        <f>Data!K23</f>
        <v>533.79999999999995</v>
      </c>
      <c r="N23" s="21">
        <f>Data!M23</f>
        <v>98.634811401367188</v>
      </c>
      <c r="O23" s="21">
        <f>Data!N23</f>
        <v>98.634811401367188</v>
      </c>
      <c r="P23" s="10">
        <f>Data!O23</f>
        <v>6.3399999999999998E-2</v>
      </c>
      <c r="Q23" s="10">
        <f t="shared" si="4"/>
        <v>6.3399999999999998E-2</v>
      </c>
      <c r="R23" s="10">
        <f>Data!Q23</f>
        <v>-0.24</v>
      </c>
      <c r="S23" s="10">
        <f>Data!P23</f>
        <v>-0.64</v>
      </c>
      <c r="W23" s="17"/>
      <c r="X23" s="16"/>
      <c r="Y23" s="9"/>
      <c r="Z23" s="2"/>
    </row>
    <row r="24" spans="1:26" x14ac:dyDescent="0.25">
      <c r="A24" s="7">
        <f>Data!A24</f>
        <v>202308</v>
      </c>
      <c r="B24" s="7">
        <v>71360</v>
      </c>
      <c r="C24" s="7">
        <f>Data!F24</f>
        <v>1872852</v>
      </c>
      <c r="D24" s="7">
        <f>IF(Data!D24="Malawi", 1, 0)</f>
        <v>1</v>
      </c>
      <c r="E24" s="7">
        <f t="shared" si="0"/>
        <v>1</v>
      </c>
      <c r="F24" s="7">
        <f t="shared" si="1"/>
        <v>1</v>
      </c>
      <c r="G24" s="10">
        <f>Data!L24</f>
        <v>0.87933433872400502</v>
      </c>
      <c r="H24" s="10">
        <f t="shared" si="2"/>
        <v>0.87933433872400502</v>
      </c>
      <c r="I24" s="10">
        <f>Data!H24</f>
        <v>0.98571157894736838</v>
      </c>
      <c r="J24" s="10">
        <f>Data!I24</f>
        <v>0.66930000000000001</v>
      </c>
      <c r="K24" s="10">
        <f t="shared" si="3"/>
        <v>0.94753156653830251</v>
      </c>
      <c r="L24" s="10">
        <f>Data!J24</f>
        <v>0.31549569964408875</v>
      </c>
      <c r="M24" s="21">
        <f>Data!K24</f>
        <v>533.79999999999995</v>
      </c>
      <c r="N24" s="21">
        <f>Data!M24</f>
        <v>101.14118194580078</v>
      </c>
      <c r="O24" s="21">
        <f>Data!N24</f>
        <v>101.14118194580078</v>
      </c>
      <c r="P24" s="10">
        <f>Data!O24</f>
        <v>4.19E-2</v>
      </c>
      <c r="Q24" s="10">
        <f t="shared" si="4"/>
        <v>4.19E-2</v>
      </c>
      <c r="R24" s="10">
        <f>Data!Q24</f>
        <v>-0.24</v>
      </c>
      <c r="S24" s="10">
        <f>Data!P24</f>
        <v>-0.64</v>
      </c>
      <c r="W24" s="17"/>
      <c r="X24" s="16"/>
      <c r="Y24" s="9"/>
      <c r="Z24" s="2"/>
    </row>
    <row r="25" spans="1:26" x14ac:dyDescent="0.25">
      <c r="A25" s="7">
        <f>Data!A25</f>
        <v>202307</v>
      </c>
      <c r="B25" s="7">
        <v>71360</v>
      </c>
      <c r="C25" s="7">
        <f>Data!F25</f>
        <v>182430</v>
      </c>
      <c r="D25" s="7">
        <f>IF(Data!D25="Malawi", 1, 0)</f>
        <v>1</v>
      </c>
      <c r="E25" s="7">
        <f t="shared" si="0"/>
        <v>1</v>
      </c>
      <c r="F25" s="7">
        <f t="shared" si="1"/>
        <v>1</v>
      </c>
      <c r="G25" s="10">
        <f>Data!L25</f>
        <v>0.64329011350933896</v>
      </c>
      <c r="H25" s="10">
        <f t="shared" si="2"/>
        <v>0.64329011350933896</v>
      </c>
      <c r="I25" s="10">
        <f>Data!H25</f>
        <v>0.52122857142857137</v>
      </c>
      <c r="J25" s="10">
        <f>Data!I25</f>
        <v>0.28170000000000001</v>
      </c>
      <c r="K25" s="10">
        <f t="shared" si="3"/>
        <v>0.43578636190301551</v>
      </c>
      <c r="L25" s="10">
        <f>Data!J25</f>
        <v>0.21112766861915588</v>
      </c>
      <c r="M25" s="21">
        <f>Data!K25</f>
        <v>533.79999999999995</v>
      </c>
      <c r="N25" s="21">
        <f>Data!M25</f>
        <v>107.44878387451172</v>
      </c>
      <c r="O25" s="21">
        <f>Data!N25</f>
        <v>107.44878387451172</v>
      </c>
      <c r="P25" s="10">
        <f>Data!O25</f>
        <v>7.7999999999999996E-3</v>
      </c>
      <c r="Q25" s="10">
        <f t="shared" si="4"/>
        <v>7.7999999999999996E-3</v>
      </c>
      <c r="R25" s="10">
        <f>Data!Q25</f>
        <v>-0.24</v>
      </c>
      <c r="S25" s="10">
        <f>Data!P25</f>
        <v>-0.64</v>
      </c>
      <c r="W25" s="17"/>
      <c r="X25" s="16"/>
      <c r="Y25" s="9"/>
      <c r="Z25" s="2"/>
    </row>
    <row r="26" spans="1:26" x14ac:dyDescent="0.25">
      <c r="A26" s="7">
        <f>Data!A26</f>
        <v>202306</v>
      </c>
      <c r="B26" s="7">
        <v>71360</v>
      </c>
      <c r="C26" s="7">
        <f>Data!F26</f>
        <v>1525373</v>
      </c>
      <c r="D26" s="7">
        <f>IF(Data!D26="Malawi", 1, 0)</f>
        <v>1</v>
      </c>
      <c r="E26" s="7">
        <f t="shared" si="0"/>
        <v>1</v>
      </c>
      <c r="F26" s="7">
        <f t="shared" si="1"/>
        <v>1</v>
      </c>
      <c r="G26" s="10">
        <f>Data!L26</f>
        <v>0.96749197336590897</v>
      </c>
      <c r="H26" s="10">
        <f t="shared" si="2"/>
        <v>0.96749197336590897</v>
      </c>
      <c r="I26" s="10">
        <f>Data!H26</f>
        <v>0.98602003878474465</v>
      </c>
      <c r="J26" s="10">
        <f>Data!I26</f>
        <v>1.0002</v>
      </c>
      <c r="K26" s="10">
        <f t="shared" si="3"/>
        <v>0.98648100134160055</v>
      </c>
      <c r="L26" s="10">
        <f>Data!J26</f>
        <v>0.26301303505897522</v>
      </c>
      <c r="M26" s="21">
        <f>Data!K26</f>
        <v>533.79999999999995</v>
      </c>
      <c r="N26" s="21">
        <f>Data!M26</f>
        <v>110.52894592285156</v>
      </c>
      <c r="O26" s="21">
        <f>Data!N26</f>
        <v>110.52894592285156</v>
      </c>
      <c r="P26" s="10">
        <f>Data!O26</f>
        <v>4.8500000000000001E-2</v>
      </c>
      <c r="Q26" s="10">
        <f t="shared" si="4"/>
        <v>4.8500000000000001E-2</v>
      </c>
      <c r="R26" s="10">
        <f>Data!Q26</f>
        <v>-0.24</v>
      </c>
      <c r="S26" s="10">
        <f>Data!P26</f>
        <v>-0.64</v>
      </c>
      <c r="W26" s="17"/>
      <c r="X26" s="16"/>
      <c r="Y26" s="9"/>
      <c r="Z26" s="2"/>
    </row>
    <row r="27" spans="1:26" x14ac:dyDescent="0.25">
      <c r="A27" s="7">
        <f>Data!A27</f>
        <v>202305</v>
      </c>
      <c r="B27" s="7">
        <v>71360</v>
      </c>
      <c r="C27" s="7">
        <f>Data!F27</f>
        <v>2615546</v>
      </c>
      <c r="D27" s="7">
        <f>IF(Data!D27="Malawi", 1, 0)</f>
        <v>1</v>
      </c>
      <c r="E27" s="7">
        <f t="shared" si="0"/>
        <v>1</v>
      </c>
      <c r="F27" s="7">
        <f t="shared" si="1"/>
        <v>1</v>
      </c>
      <c r="G27" s="10">
        <f>Data!L27</f>
        <v>0.88000869394942804</v>
      </c>
      <c r="H27" s="10">
        <f t="shared" si="2"/>
        <v>0.88000869394942804</v>
      </c>
      <c r="I27" s="10">
        <f>Data!H27</f>
        <v>0.77497659259259255</v>
      </c>
      <c r="J27" s="10">
        <f>Data!I27</f>
        <v>0.80859999999999999</v>
      </c>
      <c r="K27" s="10">
        <f t="shared" si="3"/>
        <v>0.7790111091612778</v>
      </c>
      <c r="L27" s="10">
        <f>Data!J27</f>
        <v>0.31503695249557495</v>
      </c>
      <c r="M27" s="21">
        <f>Data!K27</f>
        <v>533.79999999999995</v>
      </c>
      <c r="N27" s="21">
        <f>Data!M27</f>
        <v>108.46768188476563</v>
      </c>
      <c r="O27" s="21">
        <f>Data!N27</f>
        <v>108.46768188476563</v>
      </c>
      <c r="P27" s="10">
        <f>Data!O27</f>
        <v>7.2400000000000006E-2</v>
      </c>
      <c r="Q27" s="10">
        <f t="shared" si="4"/>
        <v>7.2400000000000006E-2</v>
      </c>
      <c r="R27" s="10">
        <f>Data!Q27</f>
        <v>-0.24</v>
      </c>
      <c r="S27" s="10">
        <f>Data!P27</f>
        <v>-0.64</v>
      </c>
      <c r="W27" s="17"/>
      <c r="X27" s="16"/>
      <c r="Y27" s="9"/>
      <c r="Z27" s="2"/>
    </row>
    <row r="28" spans="1:26" x14ac:dyDescent="0.25">
      <c r="A28" s="7">
        <f>Data!A28</f>
        <v>202304</v>
      </c>
      <c r="B28" s="7">
        <v>71360</v>
      </c>
      <c r="C28" s="7">
        <f>Data!F28</f>
        <v>778074</v>
      </c>
      <c r="D28" s="7">
        <f>IF(Data!D28="Malawi", 1, 0)</f>
        <v>1</v>
      </c>
      <c r="E28" s="7">
        <f t="shared" si="0"/>
        <v>1</v>
      </c>
      <c r="F28" s="7">
        <f t="shared" si="1"/>
        <v>1</v>
      </c>
      <c r="G28" s="10">
        <f>Data!L28</f>
        <v>0.91336746983708805</v>
      </c>
      <c r="H28" s="10">
        <f t="shared" si="2"/>
        <v>0.91336746983708805</v>
      </c>
      <c r="I28" s="10">
        <f>Data!H28</f>
        <v>0.74283395707630029</v>
      </c>
      <c r="J28" s="10">
        <f>Data!I28</f>
        <v>0.75900000000000001</v>
      </c>
      <c r="K28" s="10">
        <f t="shared" si="3"/>
        <v>0.74423446227750267</v>
      </c>
      <c r="L28" s="10">
        <f>Data!J28</f>
        <v>0.24643319845199585</v>
      </c>
      <c r="M28" s="21">
        <f>Data!K28</f>
        <v>533.79999999999995</v>
      </c>
      <c r="N28" s="21">
        <f>Data!M28</f>
        <v>106.80965423583984</v>
      </c>
      <c r="O28" s="21">
        <f>Data!N28</f>
        <v>106.80965423583984</v>
      </c>
      <c r="P28" s="10">
        <f>Data!O28</f>
        <v>1.12E-2</v>
      </c>
      <c r="Q28" s="10">
        <f t="shared" si="4"/>
        <v>1.12E-2</v>
      </c>
      <c r="R28" s="10">
        <f>Data!Q28</f>
        <v>-0.24</v>
      </c>
      <c r="S28" s="10">
        <f>Data!P28</f>
        <v>-0.64</v>
      </c>
      <c r="W28" s="17"/>
      <c r="X28" s="16"/>
      <c r="Y28" s="9"/>
      <c r="Z28" s="2"/>
    </row>
    <row r="29" spans="1:26" x14ac:dyDescent="0.25">
      <c r="A29" s="7">
        <f>Data!A29</f>
        <v>202303</v>
      </c>
      <c r="B29" s="7">
        <v>71360</v>
      </c>
      <c r="C29" s="7">
        <f>Data!F29</f>
        <v>818649</v>
      </c>
      <c r="D29" s="7">
        <f>IF(Data!D29="Malawi", 1, 0)</f>
        <v>1</v>
      </c>
      <c r="E29" s="7">
        <f t="shared" si="0"/>
        <v>1</v>
      </c>
      <c r="F29" s="7">
        <f t="shared" si="1"/>
        <v>1</v>
      </c>
      <c r="G29" s="10">
        <f>Data!L29</f>
        <v>0.79755215051458805</v>
      </c>
      <c r="H29" s="10">
        <f t="shared" si="2"/>
        <v>0.79755215051458805</v>
      </c>
      <c r="I29" s="10">
        <f>Data!H29</f>
        <v>0.6420323271298497</v>
      </c>
      <c r="J29" s="10">
        <f>Data!I29</f>
        <v>0.67549999999999999</v>
      </c>
      <c r="K29" s="10">
        <f t="shared" si="3"/>
        <v>0.64880778552969287</v>
      </c>
      <c r="L29" s="10">
        <f>Data!J29</f>
        <v>0.30663993954658508</v>
      </c>
      <c r="M29" s="21">
        <f>Data!K29</f>
        <v>533.79999999999995</v>
      </c>
      <c r="N29" s="21">
        <f>Data!M29</f>
        <v>105.37997436523438</v>
      </c>
      <c r="O29" s="21">
        <f>Data!N29</f>
        <v>105.37997436523438</v>
      </c>
      <c r="P29" s="10">
        <f>Data!O29</f>
        <v>1.4E-2</v>
      </c>
      <c r="Q29" s="10">
        <f t="shared" si="4"/>
        <v>1.4E-2</v>
      </c>
      <c r="R29" s="10">
        <f>Data!Q29</f>
        <v>-0.24</v>
      </c>
      <c r="S29" s="10">
        <f>Data!P29</f>
        <v>-0.64</v>
      </c>
      <c r="W29" s="17"/>
      <c r="X29" s="16"/>
      <c r="Y29" s="9"/>
      <c r="Z29" s="2"/>
    </row>
    <row r="30" spans="1:26" x14ac:dyDescent="0.25">
      <c r="A30" s="7">
        <f>Data!A30</f>
        <v>202302</v>
      </c>
      <c r="B30" s="7">
        <v>71360</v>
      </c>
      <c r="C30" s="7">
        <f>Data!F30</f>
        <v>2261945</v>
      </c>
      <c r="D30" s="7">
        <f>IF(Data!D30="Malawi", 1, 0)</f>
        <v>1</v>
      </c>
      <c r="E30" s="7">
        <f t="shared" si="0"/>
        <v>1</v>
      </c>
      <c r="F30" s="7">
        <f t="shared" si="1"/>
        <v>1</v>
      </c>
      <c r="G30" s="10">
        <f>Data!L30</f>
        <v>0.958943745686344</v>
      </c>
      <c r="H30" s="10">
        <f t="shared" si="2"/>
        <v>0.958943745686344</v>
      </c>
      <c r="I30" s="10">
        <f>Data!H30</f>
        <v>0.59524868421052635</v>
      </c>
      <c r="J30" s="10">
        <f>Data!I30</f>
        <v>0.60029999999999994</v>
      </c>
      <c r="K30" s="10">
        <f t="shared" si="3"/>
        <v>0.59545607231619757</v>
      </c>
      <c r="L30" s="10">
        <f>Data!J30</f>
        <v>0.29352903366088867</v>
      </c>
      <c r="M30" s="21">
        <f>Data!K30</f>
        <v>533.79999999999995</v>
      </c>
      <c r="N30" s="21">
        <f>Data!M30</f>
        <v>120.99437713623047</v>
      </c>
      <c r="O30" s="21">
        <f>Data!N30</f>
        <v>120.99437713623047</v>
      </c>
      <c r="P30" s="10">
        <f>Data!O30</f>
        <v>3.4299999999999997E-2</v>
      </c>
      <c r="Q30" s="10">
        <f t="shared" si="4"/>
        <v>3.4299999999999997E-2</v>
      </c>
      <c r="R30" s="10">
        <f>Data!Q30</f>
        <v>-0.24</v>
      </c>
      <c r="S30" s="10">
        <f>Data!P30</f>
        <v>-0.64</v>
      </c>
      <c r="W30" s="17"/>
      <c r="X30" s="16"/>
      <c r="Y30" s="9"/>
      <c r="Z30" s="2"/>
    </row>
    <row r="31" spans="1:26" x14ac:dyDescent="0.25">
      <c r="A31" s="7">
        <f>Data!A31</f>
        <v>202301</v>
      </c>
      <c r="B31" s="7">
        <v>71360</v>
      </c>
      <c r="C31" s="7">
        <f>Data!F31</f>
        <v>3543458</v>
      </c>
      <c r="D31" s="7">
        <f>IF(Data!D31="Malawi", 1, 0)</f>
        <v>1</v>
      </c>
      <c r="E31" s="7">
        <f t="shared" si="0"/>
        <v>1</v>
      </c>
      <c r="F31" s="7">
        <f t="shared" si="1"/>
        <v>1</v>
      </c>
      <c r="G31" s="10">
        <f>Data!L31</f>
        <v>0.94791958143912103</v>
      </c>
      <c r="H31" s="10">
        <f t="shared" si="2"/>
        <v>0.94791958143912103</v>
      </c>
      <c r="I31" s="10">
        <f>Data!H31</f>
        <v>0.67226301191058901</v>
      </c>
      <c r="J31" s="10">
        <f>Data!I31</f>
        <v>0.67689999999999995</v>
      </c>
      <c r="K31" s="10">
        <f t="shared" si="3"/>
        <v>0.67250450819114727</v>
      </c>
      <c r="L31" s="10">
        <f>Data!J31</f>
        <v>0.19585543870925903</v>
      </c>
      <c r="M31" s="21">
        <f>Data!K31</f>
        <v>533.79999999999995</v>
      </c>
      <c r="N31" s="21">
        <f>Data!M31</f>
        <v>104.26704406738281</v>
      </c>
      <c r="O31" s="21">
        <f>Data!N31</f>
        <v>104.26704406738281</v>
      </c>
      <c r="P31" s="10">
        <f>Data!O31</f>
        <v>5.04E-2</v>
      </c>
      <c r="Q31" s="10">
        <f t="shared" si="4"/>
        <v>5.04E-2</v>
      </c>
      <c r="R31" s="10">
        <f>Data!Q31</f>
        <v>-0.24</v>
      </c>
      <c r="S31" s="10">
        <f>Data!P31</f>
        <v>-0.64</v>
      </c>
      <c r="W31" s="17"/>
      <c r="X31" s="16"/>
      <c r="Y31" s="9"/>
      <c r="Z31" s="2"/>
    </row>
    <row r="32" spans="1:26" x14ac:dyDescent="0.25">
      <c r="A32" s="7">
        <f>Data!A32</f>
        <v>202212</v>
      </c>
      <c r="B32" s="7">
        <v>71360</v>
      </c>
      <c r="C32" s="7">
        <f>Data!F32</f>
        <v>8893376</v>
      </c>
      <c r="D32" s="7">
        <f>IF(Data!D32="Malawi", 1, 0)</f>
        <v>1</v>
      </c>
      <c r="E32" s="7">
        <f t="shared" si="0"/>
        <v>1</v>
      </c>
      <c r="F32" s="7">
        <f t="shared" si="1"/>
        <v>1</v>
      </c>
      <c r="G32" s="10">
        <f>Data!L32</f>
        <v>0.97724874736578105</v>
      </c>
      <c r="H32" s="10">
        <f t="shared" si="2"/>
        <v>0.97724874736578105</v>
      </c>
      <c r="I32" s="10">
        <f>Data!H32</f>
        <v>0.64004145376034549</v>
      </c>
      <c r="J32" s="10">
        <f>Data!I32</f>
        <v>1.1183000000000001</v>
      </c>
      <c r="K32" s="10">
        <f t="shared" si="3"/>
        <v>0.65092243477031819</v>
      </c>
      <c r="L32" s="10">
        <f>Data!J32</f>
        <v>0.24796974658966064</v>
      </c>
      <c r="M32" s="21">
        <f>Data!K32</f>
        <v>488.9</v>
      </c>
      <c r="N32" s="21">
        <f>Data!M32</f>
        <v>111.19593811035156</v>
      </c>
      <c r="O32" s="21">
        <f>Data!N32</f>
        <v>111.19593811035156</v>
      </c>
      <c r="P32" s="10">
        <f>Data!O32</f>
        <v>6.6299999999999998E-2</v>
      </c>
      <c r="Q32" s="10">
        <f t="shared" si="4"/>
        <v>6.6299999999999998E-2</v>
      </c>
      <c r="R32" s="10">
        <f>Data!Q32</f>
        <v>-0.16</v>
      </c>
      <c r="S32" s="10">
        <f>Data!P32</f>
        <v>-0.62</v>
      </c>
      <c r="W32" s="17"/>
      <c r="X32" s="16"/>
      <c r="Y32" s="9"/>
      <c r="Z32" s="2"/>
    </row>
    <row r="33" spans="1:26" x14ac:dyDescent="0.25">
      <c r="A33" s="7">
        <f>Data!A33</f>
        <v>202211</v>
      </c>
      <c r="B33" s="7">
        <v>71360</v>
      </c>
      <c r="C33" s="7">
        <f>Data!F33</f>
        <v>6500971</v>
      </c>
      <c r="D33" s="7">
        <f>IF(Data!D33="Malawi", 1, 0)</f>
        <v>1</v>
      </c>
      <c r="E33" s="7">
        <f t="shared" si="0"/>
        <v>1</v>
      </c>
      <c r="F33" s="7">
        <f t="shared" si="1"/>
        <v>1</v>
      </c>
      <c r="G33" s="10">
        <f>Data!L33</f>
        <v>0.992728661506877</v>
      </c>
      <c r="H33" s="10">
        <f t="shared" si="2"/>
        <v>0.992728661506877</v>
      </c>
      <c r="I33" s="10">
        <f>Data!H33</f>
        <v>0.60793669051292842</v>
      </c>
      <c r="J33" s="10">
        <f>Data!I33</f>
        <v>0.60870000000000002</v>
      </c>
      <c r="K33" s="10">
        <f t="shared" si="3"/>
        <v>0.60794224079458392</v>
      </c>
      <c r="L33" s="10">
        <f>Data!J33</f>
        <v>0.29648211598396301</v>
      </c>
      <c r="M33" s="21">
        <f>Data!K33</f>
        <v>488.9</v>
      </c>
      <c r="N33" s="21">
        <f>Data!M33</f>
        <v>116.71628570556641</v>
      </c>
      <c r="O33" s="21">
        <f>Data!N33</f>
        <v>116.71628570556641</v>
      </c>
      <c r="P33" s="10">
        <f>Data!O33</f>
        <v>5.7500000000000002E-2</v>
      </c>
      <c r="Q33" s="10">
        <f t="shared" si="4"/>
        <v>5.7500000000000002E-2</v>
      </c>
      <c r="R33" s="10">
        <f>Data!Q33</f>
        <v>-0.16</v>
      </c>
      <c r="S33" s="10">
        <f>Data!P33</f>
        <v>-0.62</v>
      </c>
      <c r="W33" s="17"/>
      <c r="X33" s="16"/>
      <c r="Y33" s="9"/>
      <c r="Z33" s="2"/>
    </row>
    <row r="34" spans="1:26" x14ac:dyDescent="0.25">
      <c r="A34" s="7">
        <f>Data!A34</f>
        <v>202210</v>
      </c>
      <c r="B34" s="7">
        <v>71360</v>
      </c>
      <c r="C34" s="7">
        <f>Data!F34</f>
        <v>6351896</v>
      </c>
      <c r="D34" s="7">
        <f>IF(Data!D34="Malawi", 1, 0)</f>
        <v>1</v>
      </c>
      <c r="E34" s="7">
        <f t="shared" si="0"/>
        <v>1</v>
      </c>
      <c r="F34" s="7">
        <f t="shared" si="1"/>
        <v>1</v>
      </c>
      <c r="G34" s="10">
        <f>Data!L34</f>
        <v>0.96195592830948395</v>
      </c>
      <c r="H34" s="10">
        <f t="shared" si="2"/>
        <v>0.96195592830948395</v>
      </c>
      <c r="I34" s="10">
        <f>Data!H34</f>
        <v>0.62441838289506024</v>
      </c>
      <c r="J34" s="10">
        <f>Data!I34</f>
        <v>0.62409999999999999</v>
      </c>
      <c r="K34" s="10">
        <f t="shared" si="3"/>
        <v>0.62440627031337548</v>
      </c>
      <c r="L34" s="10">
        <f>Data!J34</f>
        <v>0.30671361088752747</v>
      </c>
      <c r="M34" s="21">
        <f>Data!K34</f>
        <v>488.9</v>
      </c>
      <c r="N34" s="21">
        <f>Data!M34</f>
        <v>143.16241455078125</v>
      </c>
      <c r="O34" s="21">
        <f>Data!N34</f>
        <v>143.16241455078125</v>
      </c>
      <c r="P34" s="10">
        <f>Data!O34</f>
        <v>8.43E-2</v>
      </c>
      <c r="Q34" s="10">
        <f t="shared" si="4"/>
        <v>8.43E-2</v>
      </c>
      <c r="R34" s="10">
        <f>Data!Q34</f>
        <v>-0.16</v>
      </c>
      <c r="S34" s="10">
        <f>Data!P34</f>
        <v>-0.62</v>
      </c>
      <c r="W34" s="17"/>
      <c r="X34" s="16"/>
      <c r="Y34" s="9"/>
      <c r="Z34" s="2"/>
    </row>
    <row r="35" spans="1:26" x14ac:dyDescent="0.25">
      <c r="A35" s="7">
        <f>Data!A35</f>
        <v>202209</v>
      </c>
      <c r="B35" s="7">
        <v>71360</v>
      </c>
      <c r="C35" s="7">
        <f>Data!F35</f>
        <v>1948517</v>
      </c>
      <c r="D35" s="7">
        <f>IF(Data!D35="Malawi", 1, 0)</f>
        <v>1</v>
      </c>
      <c r="E35" s="7">
        <f t="shared" si="0"/>
        <v>1</v>
      </c>
      <c r="F35" s="7">
        <f t="shared" si="1"/>
        <v>1</v>
      </c>
      <c r="G35" s="10">
        <f>Data!L35</f>
        <v>0.95596374385203098</v>
      </c>
      <c r="H35" s="10">
        <f t="shared" si="2"/>
        <v>0.95596374385203098</v>
      </c>
      <c r="I35" s="10">
        <f>Data!H35</f>
        <v>0.63366406504065043</v>
      </c>
      <c r="J35" s="10">
        <f>Data!I35</f>
        <v>0.60919999999999996</v>
      </c>
      <c r="K35" s="10">
        <f t="shared" si="3"/>
        <v>0.63258675920609986</v>
      </c>
      <c r="L35" s="10">
        <f>Data!J35</f>
        <v>0.50662738084793091</v>
      </c>
      <c r="M35" s="21">
        <f>Data!K35</f>
        <v>488.9</v>
      </c>
      <c r="N35" s="21">
        <f>Data!M35</f>
        <v>131.98587036132813</v>
      </c>
      <c r="O35" s="21">
        <f>Data!N35</f>
        <v>131.98587036132813</v>
      </c>
      <c r="P35" s="10">
        <f>Data!O35</f>
        <v>4.7500000000000001E-2</v>
      </c>
      <c r="Q35" s="10">
        <f t="shared" si="4"/>
        <v>4.7500000000000001E-2</v>
      </c>
      <c r="R35" s="10">
        <f>Data!Q35</f>
        <v>-0.16</v>
      </c>
      <c r="S35" s="10">
        <f>Data!P35</f>
        <v>-0.62</v>
      </c>
      <c r="W35" s="17"/>
      <c r="X35" s="16"/>
      <c r="Y35" s="9"/>
      <c r="Z35" s="2"/>
    </row>
    <row r="36" spans="1:26" x14ac:dyDescent="0.25">
      <c r="A36" s="7">
        <f>Data!A36</f>
        <v>202208</v>
      </c>
      <c r="B36" s="7">
        <v>71360</v>
      </c>
      <c r="C36" s="7">
        <f>Data!F36</f>
        <v>2200684</v>
      </c>
      <c r="D36" s="7">
        <f>IF(Data!D36="Malawi", 1, 0)</f>
        <v>1</v>
      </c>
      <c r="E36" s="7">
        <f t="shared" si="0"/>
        <v>1</v>
      </c>
      <c r="F36" s="7">
        <f t="shared" si="1"/>
        <v>1</v>
      </c>
      <c r="G36" s="10">
        <f>Data!L36</f>
        <v>0.91116350052955197</v>
      </c>
      <c r="H36" s="10">
        <f t="shared" si="2"/>
        <v>0.91116350052955197</v>
      </c>
      <c r="I36" s="10">
        <f>Data!H36</f>
        <v>0.67713353846153845</v>
      </c>
      <c r="J36" s="10">
        <f>Data!I36</f>
        <v>0.55359999999999998</v>
      </c>
      <c r="K36" s="10">
        <f t="shared" si="3"/>
        <v>0.66615925133741738</v>
      </c>
      <c r="L36" s="10">
        <f>Data!J36</f>
        <v>0.24869729578495026</v>
      </c>
      <c r="M36" s="21">
        <f>Data!K36</f>
        <v>488.9</v>
      </c>
      <c r="N36" s="21">
        <f>Data!M36</f>
        <v>132.86322021484375</v>
      </c>
      <c r="O36" s="21">
        <f>Data!N36</f>
        <v>132.86322021484375</v>
      </c>
      <c r="P36" s="10">
        <f>Data!O36</f>
        <v>0.126</v>
      </c>
      <c r="Q36" s="10">
        <f t="shared" si="4"/>
        <v>0.126</v>
      </c>
      <c r="R36" s="10">
        <f>Data!Q36</f>
        <v>-0.16</v>
      </c>
      <c r="S36" s="10">
        <f>Data!P36</f>
        <v>-0.62</v>
      </c>
      <c r="W36" s="17"/>
      <c r="X36" s="16"/>
      <c r="Y36" s="9"/>
      <c r="Z36" s="2"/>
    </row>
    <row r="37" spans="1:26" x14ac:dyDescent="0.25">
      <c r="A37" s="7">
        <f>Data!A37</f>
        <v>202207</v>
      </c>
      <c r="B37" s="7">
        <v>71360</v>
      </c>
      <c r="C37" s="7">
        <f>Data!F37</f>
        <v>2084847</v>
      </c>
      <c r="D37" s="7">
        <f>IF(Data!D37="Malawi", 1, 0)</f>
        <v>1</v>
      </c>
      <c r="E37" s="7">
        <f t="shared" si="0"/>
        <v>1</v>
      </c>
      <c r="F37" s="7">
        <f t="shared" si="1"/>
        <v>1</v>
      </c>
      <c r="G37" s="10">
        <f>Data!L37</f>
        <v>0.899653834403216</v>
      </c>
      <c r="H37" s="10">
        <f t="shared" si="2"/>
        <v>0.899653834403216</v>
      </c>
      <c r="I37" s="10">
        <f>Data!H37</f>
        <v>0.60436654259574907</v>
      </c>
      <c r="J37" s="10">
        <f>Data!I37</f>
        <v>0.61170000000000002</v>
      </c>
      <c r="K37" s="10">
        <f t="shared" si="3"/>
        <v>0.60510242692683303</v>
      </c>
      <c r="L37" s="10">
        <f>Data!J37</f>
        <v>0.27303358912467957</v>
      </c>
      <c r="M37" s="21">
        <f>Data!K37</f>
        <v>488.9</v>
      </c>
      <c r="N37" s="21">
        <f>Data!M37</f>
        <v>117.17676544189453</v>
      </c>
      <c r="O37" s="21">
        <f>Data!N37</f>
        <v>117.17676544189453</v>
      </c>
      <c r="P37" s="10">
        <f>Data!O37</f>
        <v>0.43070000000000003</v>
      </c>
      <c r="Q37" s="10">
        <f t="shared" si="4"/>
        <v>0.43070000000000003</v>
      </c>
      <c r="R37" s="10">
        <f>Data!Q37</f>
        <v>-0.16</v>
      </c>
      <c r="S37" s="10">
        <f>Data!P37</f>
        <v>-0.62</v>
      </c>
      <c r="W37" s="17"/>
      <c r="X37" s="16"/>
      <c r="Y37" s="9"/>
      <c r="Z37" s="2"/>
    </row>
    <row r="38" spans="1:26" x14ac:dyDescent="0.25">
      <c r="A38" s="7">
        <f>Data!A38</f>
        <v>202206</v>
      </c>
      <c r="B38" s="7">
        <v>71360</v>
      </c>
      <c r="C38" s="7">
        <f>Data!F38</f>
        <v>2290048</v>
      </c>
      <c r="D38" s="7">
        <f>IF(Data!D38="Malawi", 1, 0)</f>
        <v>1</v>
      </c>
      <c r="E38" s="7">
        <f t="shared" si="0"/>
        <v>1</v>
      </c>
      <c r="F38" s="7">
        <f t="shared" si="1"/>
        <v>1</v>
      </c>
      <c r="G38" s="10">
        <f>Data!L38</f>
        <v>0.92467825707051099</v>
      </c>
      <c r="H38" s="10">
        <f t="shared" si="2"/>
        <v>0.92467825707051099</v>
      </c>
      <c r="I38" s="10">
        <f>Data!H38</f>
        <v>0.67352768170160704</v>
      </c>
      <c r="J38" s="10">
        <f>Data!I38</f>
        <v>0.69589999999999996</v>
      </c>
      <c r="K38" s="10">
        <f t="shared" si="3"/>
        <v>0.67521280370921533</v>
      </c>
      <c r="L38" s="10">
        <f>Data!J38</f>
        <v>0.37673652172088623</v>
      </c>
      <c r="M38" s="21">
        <f>Data!K38</f>
        <v>488.9</v>
      </c>
      <c r="N38" s="21">
        <f>Data!M38</f>
        <v>130.70732116699219</v>
      </c>
      <c r="O38" s="21">
        <f>Data!N38</f>
        <v>130.70732116699219</v>
      </c>
      <c r="P38" s="10">
        <f>Data!O38</f>
        <v>0.22170000000000001</v>
      </c>
      <c r="Q38" s="10">
        <f t="shared" si="4"/>
        <v>0.22170000000000001</v>
      </c>
      <c r="R38" s="10">
        <f>Data!Q38</f>
        <v>-0.16</v>
      </c>
      <c r="S38" s="10">
        <f>Data!P38</f>
        <v>-0.62</v>
      </c>
      <c r="W38" s="17"/>
      <c r="X38" s="16"/>
      <c r="Y38" s="9"/>
      <c r="Z38" s="2"/>
    </row>
    <row r="39" spans="1:26" x14ac:dyDescent="0.25">
      <c r="A39" s="7">
        <f>Data!A39</f>
        <v>202205</v>
      </c>
      <c r="B39" s="7">
        <v>71360</v>
      </c>
      <c r="C39" s="7">
        <f>Data!F39</f>
        <v>541166</v>
      </c>
      <c r="D39" s="7">
        <f>IF(Data!D39="Malawi", 1, 0)</f>
        <v>1</v>
      </c>
      <c r="E39" s="7">
        <f t="shared" si="0"/>
        <v>1</v>
      </c>
      <c r="F39" s="7">
        <f t="shared" si="1"/>
        <v>1</v>
      </c>
      <c r="G39" s="10">
        <f>Data!L39</f>
        <v>0.88632045805927495</v>
      </c>
      <c r="H39" s="10">
        <f t="shared" si="2"/>
        <v>0.88632045805927495</v>
      </c>
      <c r="I39" s="10">
        <f>Data!H39</f>
        <v>0.65595878787878792</v>
      </c>
      <c r="J39" s="10">
        <f>Data!I39</f>
        <v>0.69269999999999998</v>
      </c>
      <c r="K39" s="10">
        <f t="shared" si="3"/>
        <v>0.6601355120430743</v>
      </c>
      <c r="L39" s="10">
        <f>Data!J39</f>
        <v>0.35085734724998474</v>
      </c>
      <c r="M39" s="21">
        <f>Data!K39</f>
        <v>488.9</v>
      </c>
      <c r="N39" s="21">
        <f>Data!M39</f>
        <v>142.25848388671875</v>
      </c>
      <c r="O39" s="21">
        <f>Data!N39</f>
        <v>142.25848388671875</v>
      </c>
      <c r="P39" s="10">
        <f>Data!O39</f>
        <v>0.1069</v>
      </c>
      <c r="Q39" s="10">
        <f t="shared" si="4"/>
        <v>0.1069</v>
      </c>
      <c r="R39" s="10">
        <f>Data!Q39</f>
        <v>-0.16</v>
      </c>
      <c r="S39" s="10">
        <f>Data!P39</f>
        <v>-0.62</v>
      </c>
      <c r="W39" s="17"/>
      <c r="X39" s="16"/>
      <c r="Y39" s="9"/>
      <c r="Z39" s="2"/>
    </row>
    <row r="40" spans="1:26" x14ac:dyDescent="0.25">
      <c r="A40" s="7">
        <f>Data!A40</f>
        <v>202204</v>
      </c>
      <c r="B40" s="7">
        <v>71360</v>
      </c>
      <c r="C40" s="7">
        <f>Data!F40</f>
        <v>1822046</v>
      </c>
      <c r="D40" s="7">
        <f>IF(Data!D40="Malawi", 1, 0)</f>
        <v>1</v>
      </c>
      <c r="E40" s="7">
        <f t="shared" si="0"/>
        <v>1</v>
      </c>
      <c r="F40" s="7">
        <f t="shared" si="1"/>
        <v>1</v>
      </c>
      <c r="G40" s="10">
        <f>Data!L40</f>
        <v>0.96093998865043495</v>
      </c>
      <c r="H40" s="10">
        <f t="shared" si="2"/>
        <v>0.96093998865043495</v>
      </c>
      <c r="I40" s="10">
        <f>Data!H40</f>
        <v>0.66865300280739093</v>
      </c>
      <c r="J40" s="10">
        <f>Data!I40</f>
        <v>0.66579999999999995</v>
      </c>
      <c r="K40" s="10">
        <f t="shared" si="3"/>
        <v>0.66854156448535385</v>
      </c>
      <c r="L40" s="10">
        <f>Data!J40</f>
        <v>0.41409075260162354</v>
      </c>
      <c r="M40" s="21">
        <f>Data!K40</f>
        <v>488.9</v>
      </c>
      <c r="N40" s="21">
        <f>Data!M40</f>
        <v>191.14309692382813</v>
      </c>
      <c r="O40" s="21">
        <f>Data!N40</f>
        <v>191.14309692382813</v>
      </c>
      <c r="P40" s="10">
        <f>Data!O40</f>
        <v>4.5400000000000003E-2</v>
      </c>
      <c r="Q40" s="10">
        <f t="shared" si="4"/>
        <v>4.5400000000000003E-2</v>
      </c>
      <c r="R40" s="10">
        <f>Data!Q40</f>
        <v>-0.16</v>
      </c>
      <c r="S40" s="10">
        <f>Data!P40</f>
        <v>-0.62</v>
      </c>
      <c r="W40" s="17"/>
      <c r="X40" s="16"/>
      <c r="Y40" s="9"/>
      <c r="Z40" s="2"/>
    </row>
    <row r="41" spans="1:26" x14ac:dyDescent="0.25">
      <c r="A41" s="7">
        <f>Data!A41</f>
        <v>202203</v>
      </c>
      <c r="B41" s="7">
        <v>71360</v>
      </c>
      <c r="C41" s="7">
        <f>Data!F41</f>
        <v>2684677</v>
      </c>
      <c r="D41" s="7">
        <f>IF(Data!D41="Malawi", 1, 0)</f>
        <v>1</v>
      </c>
      <c r="E41" s="7">
        <f t="shared" si="0"/>
        <v>1</v>
      </c>
      <c r="F41" s="7">
        <f t="shared" si="1"/>
        <v>1</v>
      </c>
      <c r="G41" s="10">
        <f>Data!L41</f>
        <v>0.86057683215129999</v>
      </c>
      <c r="H41" s="10">
        <f t="shared" si="2"/>
        <v>0.86057683215129999</v>
      </c>
      <c r="I41" s="10">
        <f>Data!H41</f>
        <v>0.64243013778613711</v>
      </c>
      <c r="J41" s="10">
        <f>Data!I41</f>
        <v>0.67190000000000005</v>
      </c>
      <c r="K41" s="10">
        <f t="shared" si="3"/>
        <v>0.64653891933205854</v>
      </c>
      <c r="L41" s="10">
        <f>Data!J41</f>
        <v>0.46701973676681519</v>
      </c>
      <c r="M41" s="21">
        <f>Data!K41</f>
        <v>488.9</v>
      </c>
      <c r="N41" s="21">
        <f>Data!M41</f>
        <v>318.95492553710938</v>
      </c>
      <c r="O41" s="21">
        <f>Data!N41</f>
        <v>318.95492553710938</v>
      </c>
      <c r="P41" s="10">
        <f>Data!O41</f>
        <v>5.1499999999999997E-2</v>
      </c>
      <c r="Q41" s="10">
        <f t="shared" si="4"/>
        <v>5.1499999999999997E-2</v>
      </c>
      <c r="R41" s="10">
        <f>Data!Q41</f>
        <v>-0.16</v>
      </c>
      <c r="S41" s="10">
        <f>Data!P41</f>
        <v>-0.62</v>
      </c>
      <c r="W41" s="17"/>
      <c r="X41" s="16"/>
      <c r="Y41" s="9"/>
      <c r="Z41" s="2"/>
    </row>
    <row r="42" spans="1:26" x14ac:dyDescent="0.25">
      <c r="A42" s="7">
        <f>Data!A42</f>
        <v>202202</v>
      </c>
      <c r="B42" s="7">
        <v>71360</v>
      </c>
      <c r="C42" s="7">
        <f>Data!F42</f>
        <v>3239186</v>
      </c>
      <c r="D42" s="7">
        <f>IF(Data!D42="Malawi", 1, 0)</f>
        <v>1</v>
      </c>
      <c r="E42" s="7">
        <f t="shared" si="0"/>
        <v>1</v>
      </c>
      <c r="F42" s="7">
        <f t="shared" si="1"/>
        <v>1</v>
      </c>
      <c r="G42" s="10">
        <f>Data!L42</f>
        <v>0.97030596882138698</v>
      </c>
      <c r="H42" s="10">
        <f t="shared" si="2"/>
        <v>0.97030596882138698</v>
      </c>
      <c r="I42" s="10">
        <f>Data!H42</f>
        <v>0.65498836294665153</v>
      </c>
      <c r="J42" s="10">
        <f>Data!I42</f>
        <v>0.66269999999999996</v>
      </c>
      <c r="K42" s="10">
        <f t="shared" si="3"/>
        <v>0.65521735253775182</v>
      </c>
      <c r="L42" s="10">
        <f>Data!J42</f>
        <v>0.17114667594432831</v>
      </c>
      <c r="M42" s="21">
        <f>Data!K42</f>
        <v>488.9</v>
      </c>
      <c r="N42" s="21">
        <f>Data!M42</f>
        <v>216.15901184082031</v>
      </c>
      <c r="O42" s="21">
        <f>Data!N42</f>
        <v>216.15901184082031</v>
      </c>
      <c r="P42" s="10">
        <f>Data!O42</f>
        <v>5.6500000000000002E-2</v>
      </c>
      <c r="Q42" s="10">
        <f t="shared" si="4"/>
        <v>5.6500000000000002E-2</v>
      </c>
      <c r="R42" s="10">
        <f>Data!Q42</f>
        <v>-0.16</v>
      </c>
      <c r="S42" s="10">
        <f>Data!P42</f>
        <v>-0.62</v>
      </c>
      <c r="W42" s="17"/>
      <c r="X42" s="16"/>
      <c r="Y42" s="9"/>
      <c r="Z42" s="2"/>
    </row>
    <row r="43" spans="1:26" x14ac:dyDescent="0.25">
      <c r="A43" s="7">
        <f>Data!A43</f>
        <v>202201</v>
      </c>
      <c r="B43" s="7">
        <v>71360</v>
      </c>
      <c r="C43" s="7">
        <f>Data!F43</f>
        <v>2470296</v>
      </c>
      <c r="D43" s="7">
        <f>IF(Data!D43="Malawi", 1, 0)</f>
        <v>1</v>
      </c>
      <c r="E43" s="7">
        <f t="shared" si="0"/>
        <v>1</v>
      </c>
      <c r="F43" s="7">
        <f t="shared" si="1"/>
        <v>1</v>
      </c>
      <c r="G43" s="10">
        <f>Data!L43</f>
        <v>0.92309072035047801</v>
      </c>
      <c r="H43" s="10">
        <f t="shared" si="2"/>
        <v>0.92309072035047801</v>
      </c>
      <c r="I43" s="10">
        <f>Data!H43</f>
        <v>0.66909969474291497</v>
      </c>
      <c r="J43" s="10">
        <f>Data!I43</f>
        <v>0.64880000000000004</v>
      </c>
      <c r="K43" s="10">
        <f t="shared" si="3"/>
        <v>0.6675384598431322</v>
      </c>
      <c r="L43" s="10">
        <f>Data!J43</f>
        <v>0.21815009415149689</v>
      </c>
      <c r="M43" s="21">
        <f>Data!K43</f>
        <v>488.9</v>
      </c>
      <c r="N43" s="21">
        <f>Data!M43</f>
        <v>138.67498779296875</v>
      </c>
      <c r="O43" s="21">
        <f>Data!N43</f>
        <v>138.67498779296875</v>
      </c>
      <c r="P43" s="10">
        <f>Data!O43</f>
        <v>3.2300000000000002E-2</v>
      </c>
      <c r="Q43" s="10">
        <f t="shared" si="4"/>
        <v>3.2300000000000002E-2</v>
      </c>
      <c r="R43" s="10">
        <f>Data!Q43</f>
        <v>-0.16</v>
      </c>
      <c r="S43" s="10">
        <f>Data!P43</f>
        <v>-0.62</v>
      </c>
      <c r="W43" s="17"/>
      <c r="X43" s="16"/>
      <c r="Y43" s="9"/>
      <c r="Z43" s="2"/>
    </row>
    <row r="44" spans="1:26" x14ac:dyDescent="0.25">
      <c r="A44" s="7">
        <f>Data!A44</f>
        <v>202112</v>
      </c>
      <c r="B44" s="7">
        <v>71360</v>
      </c>
      <c r="C44" s="7">
        <f>Data!F44</f>
        <v>11259548</v>
      </c>
      <c r="D44" s="7">
        <f>IF(Data!D44="Malawi", 1, 0)</f>
        <v>1</v>
      </c>
      <c r="E44" s="7">
        <f t="shared" si="0"/>
        <v>1</v>
      </c>
      <c r="F44" s="7">
        <f t="shared" si="1"/>
        <v>1</v>
      </c>
      <c r="G44" s="10">
        <f>Data!L44</f>
        <v>0.99108655261613299</v>
      </c>
      <c r="H44" s="10">
        <f t="shared" si="2"/>
        <v>0.99108655261613299</v>
      </c>
      <c r="I44" s="10">
        <f>Data!H44</f>
        <v>0.64806510840849307</v>
      </c>
      <c r="J44" s="10">
        <f>Data!I44</f>
        <v>0.65080000000000005</v>
      </c>
      <c r="K44" s="10">
        <f t="shared" si="3"/>
        <v>0.64808948572079461</v>
      </c>
      <c r="L44" s="10">
        <f>Data!J44</f>
        <v>0.14811158180236816</v>
      </c>
      <c r="M44" s="21">
        <f>Data!K44</f>
        <v>576.5</v>
      </c>
      <c r="N44" s="21">
        <f>Data!M44</f>
        <v>105.34542083740234</v>
      </c>
      <c r="O44" s="21">
        <f>Data!N44</f>
        <v>105.34542083740234</v>
      </c>
      <c r="P44" s="10">
        <f>Data!O44</f>
        <v>0.14180000000000001</v>
      </c>
      <c r="Q44" s="10">
        <f t="shared" si="4"/>
        <v>0.14180000000000001</v>
      </c>
      <c r="R44" s="10">
        <f>Data!Q44</f>
        <v>-0.11</v>
      </c>
      <c r="S44" s="10">
        <f>Data!P44</f>
        <v>-0.69</v>
      </c>
      <c r="W44" s="17"/>
      <c r="X44" s="16"/>
      <c r="Y44" s="9"/>
      <c r="Z44" s="2"/>
    </row>
    <row r="45" spans="1:26" x14ac:dyDescent="0.25">
      <c r="A45" s="7">
        <f>Data!A45</f>
        <v>202111</v>
      </c>
      <c r="B45" s="7">
        <v>71360</v>
      </c>
      <c r="C45" s="7">
        <f>Data!F45</f>
        <v>5230009</v>
      </c>
      <c r="D45" s="7">
        <f>IF(Data!D45="Malawi", 1, 0)</f>
        <v>1</v>
      </c>
      <c r="E45" s="7">
        <f t="shared" si="0"/>
        <v>1</v>
      </c>
      <c r="F45" s="7">
        <f t="shared" si="1"/>
        <v>1</v>
      </c>
      <c r="G45" s="10">
        <f>Data!L45</f>
        <v>0.97654758719406598</v>
      </c>
      <c r="H45" s="10">
        <f t="shared" si="2"/>
        <v>0.97654758719406598</v>
      </c>
      <c r="I45" s="10">
        <f>Data!H45</f>
        <v>0.66019462453546618</v>
      </c>
      <c r="J45" s="10">
        <f>Data!I45</f>
        <v>0.66459999999999997</v>
      </c>
      <c r="K45" s="10">
        <f t="shared" si="3"/>
        <v>0.66029794121942553</v>
      </c>
      <c r="L45" s="10">
        <f>Data!J45</f>
        <v>0.15636105835437775</v>
      </c>
      <c r="M45" s="21">
        <f>Data!K45</f>
        <v>576.5</v>
      </c>
      <c r="N45" s="21">
        <f>Data!M45</f>
        <v>86.569145202636719</v>
      </c>
      <c r="O45" s="21">
        <f>Data!N45</f>
        <v>86.569145202636719</v>
      </c>
      <c r="P45" s="10">
        <f>Data!O45</f>
        <v>7.2900000000000006E-2</v>
      </c>
      <c r="Q45" s="10">
        <f t="shared" si="4"/>
        <v>7.2900000000000006E-2</v>
      </c>
      <c r="R45" s="10">
        <f>Data!Q45</f>
        <v>-0.11</v>
      </c>
      <c r="S45" s="10">
        <f>Data!P45</f>
        <v>-0.69</v>
      </c>
      <c r="W45" s="17"/>
      <c r="X45" s="16"/>
      <c r="Y45" s="9"/>
      <c r="Z45" s="2"/>
    </row>
    <row r="46" spans="1:26" x14ac:dyDescent="0.25">
      <c r="A46" s="7">
        <f>Data!A46</f>
        <v>202110</v>
      </c>
      <c r="B46" s="7">
        <v>71360</v>
      </c>
      <c r="C46" s="7">
        <f>Data!F46</f>
        <v>11112431</v>
      </c>
      <c r="D46" s="7">
        <f>IF(Data!D46="Malawi", 1, 0)</f>
        <v>1</v>
      </c>
      <c r="E46" s="7">
        <f t="shared" si="0"/>
        <v>1</v>
      </c>
      <c r="F46" s="7">
        <f t="shared" si="1"/>
        <v>1</v>
      </c>
      <c r="G46" s="10">
        <f>Data!L46</f>
        <v>0.98737353543495698</v>
      </c>
      <c r="H46" s="10">
        <f t="shared" si="2"/>
        <v>0.98737353543495698</v>
      </c>
      <c r="I46" s="10">
        <f>Data!H46</f>
        <v>1.194580499960709</v>
      </c>
      <c r="J46" s="10">
        <f>Data!I46</f>
        <v>1.1836</v>
      </c>
      <c r="K46" s="10">
        <f t="shared" si="3"/>
        <v>1.1944418550670486</v>
      </c>
      <c r="L46" s="10">
        <f>Data!J46</f>
        <v>0.25541067123413086</v>
      </c>
      <c r="M46" s="21">
        <f>Data!K46</f>
        <v>576.5</v>
      </c>
      <c r="N46" s="21">
        <f>Data!M46</f>
        <v>79.02923583984375</v>
      </c>
      <c r="O46" s="21">
        <f>Data!N46</f>
        <v>79.02923583984375</v>
      </c>
      <c r="P46" s="10">
        <f>Data!O46</f>
        <v>8.2699999999999996E-2</v>
      </c>
      <c r="Q46" s="10">
        <f t="shared" si="4"/>
        <v>8.2699999999999996E-2</v>
      </c>
      <c r="R46" s="10">
        <f>Data!Q46</f>
        <v>-0.11</v>
      </c>
      <c r="S46" s="10">
        <f>Data!P46</f>
        <v>-0.69</v>
      </c>
      <c r="W46" s="17"/>
      <c r="X46" s="16"/>
      <c r="Y46" s="9"/>
      <c r="Z46" s="2"/>
    </row>
    <row r="47" spans="1:26" x14ac:dyDescent="0.25">
      <c r="A47" s="7">
        <f>Data!A47</f>
        <v>202109</v>
      </c>
      <c r="B47" s="7">
        <v>71360</v>
      </c>
      <c r="C47" s="7">
        <f>Data!F47</f>
        <v>1237786</v>
      </c>
      <c r="D47" s="7">
        <f>IF(Data!D47="Malawi", 1, 0)</f>
        <v>1</v>
      </c>
      <c r="E47" s="7">
        <f t="shared" si="0"/>
        <v>1</v>
      </c>
      <c r="F47" s="7">
        <f t="shared" si="1"/>
        <v>1</v>
      </c>
      <c r="G47" s="10">
        <f>Data!L47</f>
        <v>0.78444452612753202</v>
      </c>
      <c r="H47" s="10">
        <f t="shared" si="2"/>
        <v>0.78444452612753202</v>
      </c>
      <c r="I47" s="10">
        <f>Data!H47</f>
        <v>0.69734422535211271</v>
      </c>
      <c r="J47" s="10">
        <f>Data!I47</f>
        <v>0.70209999999999995</v>
      </c>
      <c r="K47" s="10">
        <f t="shared" si="3"/>
        <v>0.69836935860996874</v>
      </c>
      <c r="L47" s="10">
        <f>Data!J47</f>
        <v>0.43071159720420837</v>
      </c>
      <c r="M47" s="21">
        <f>Data!K47</f>
        <v>576.5</v>
      </c>
      <c r="N47" s="21">
        <f>Data!M47</f>
        <v>80.696968078613281</v>
      </c>
      <c r="O47" s="21">
        <f>Data!N47</f>
        <v>80.696968078613281</v>
      </c>
      <c r="P47" s="10">
        <f>Data!O47</f>
        <v>2.3199999999999998E-2</v>
      </c>
      <c r="Q47" s="10">
        <f t="shared" si="4"/>
        <v>2.3199999999999998E-2</v>
      </c>
      <c r="R47" s="10">
        <f>Data!Q47</f>
        <v>-0.11</v>
      </c>
      <c r="S47" s="10">
        <f>Data!P47</f>
        <v>-0.69</v>
      </c>
      <c r="W47" s="17"/>
      <c r="X47" s="16"/>
      <c r="Y47" s="9"/>
      <c r="Z47" s="2"/>
    </row>
    <row r="48" spans="1:26" x14ac:dyDescent="0.25">
      <c r="A48" s="7">
        <f>Data!A48</f>
        <v>202108</v>
      </c>
      <c r="B48" s="7">
        <v>71360</v>
      </c>
      <c r="C48" s="7">
        <f>Data!F48</f>
        <v>3504075</v>
      </c>
      <c r="D48" s="7">
        <f>IF(Data!D48="Malawi", 1, 0)</f>
        <v>1</v>
      </c>
      <c r="E48" s="7">
        <f t="shared" si="0"/>
        <v>1</v>
      </c>
      <c r="F48" s="7">
        <f t="shared" si="1"/>
        <v>1</v>
      </c>
      <c r="G48" s="10">
        <f>Data!L48</f>
        <v>0.99008411296550103</v>
      </c>
      <c r="H48" s="10">
        <f t="shared" si="2"/>
        <v>0.99008411296550103</v>
      </c>
      <c r="I48" s="10">
        <f>Data!H48</f>
        <v>0.95037360491449807</v>
      </c>
      <c r="J48" s="10">
        <f>Data!I48</f>
        <v>0.95289999999999997</v>
      </c>
      <c r="K48" s="10">
        <f t="shared" si="3"/>
        <v>0.95039865636277043</v>
      </c>
      <c r="L48" s="10">
        <f>Data!J48</f>
        <v>0.14482259750366211</v>
      </c>
      <c r="M48" s="21">
        <f>Data!K48</f>
        <v>576.5</v>
      </c>
      <c r="N48" s="21">
        <f>Data!M48</f>
        <v>89.486549377441406</v>
      </c>
      <c r="O48" s="21">
        <f>Data!N48</f>
        <v>89.486549377441406</v>
      </c>
      <c r="P48" s="10">
        <f>Data!O48</f>
        <v>6.4000000000000001E-2</v>
      </c>
      <c r="Q48" s="10">
        <f t="shared" si="4"/>
        <v>6.4000000000000001E-2</v>
      </c>
      <c r="R48" s="10">
        <f>Data!Q48</f>
        <v>-0.11</v>
      </c>
      <c r="S48" s="10">
        <f>Data!P48</f>
        <v>-0.69</v>
      </c>
      <c r="W48" s="17"/>
      <c r="X48" s="16"/>
      <c r="Y48" s="9"/>
      <c r="Z48" s="2"/>
    </row>
    <row r="49" spans="1:26" x14ac:dyDescent="0.25">
      <c r="A49" s="7">
        <f>Data!A49</f>
        <v>202107</v>
      </c>
      <c r="B49" s="7">
        <v>71360</v>
      </c>
      <c r="C49" s="7">
        <f>Data!F49</f>
        <v>79935</v>
      </c>
      <c r="D49" s="7">
        <f>IF(Data!D49="Malawi", 1, 0)</f>
        <v>1</v>
      </c>
      <c r="E49" s="7">
        <f t="shared" si="0"/>
        <v>1</v>
      </c>
      <c r="F49" s="7">
        <f t="shared" si="1"/>
        <v>1</v>
      </c>
      <c r="G49" s="10">
        <f>Data!L49</f>
        <v>0.40061644865433699</v>
      </c>
      <c r="H49" s="10">
        <f t="shared" si="2"/>
        <v>0.40061644865433699</v>
      </c>
      <c r="I49" s="10">
        <f>Data!H49</f>
        <v>0.63948000000000005</v>
      </c>
      <c r="J49" s="10">
        <f>Data!I49</f>
        <v>0.89159999999999995</v>
      </c>
      <c r="K49" s="10">
        <f t="shared" si="3"/>
        <v>0.79059658096526852</v>
      </c>
      <c r="L49" s="10">
        <f>Data!J49</f>
        <v>0.17029666900634766</v>
      </c>
      <c r="M49" s="21">
        <f>Data!K49</f>
        <v>576.5</v>
      </c>
      <c r="N49" s="21">
        <f>Data!M49</f>
        <v>58.420768737792969</v>
      </c>
      <c r="O49" s="21">
        <f>Data!N49</f>
        <v>58.420768737792969</v>
      </c>
      <c r="P49" s="10">
        <f>Data!O49</f>
        <v>2.3999999999999998E-3</v>
      </c>
      <c r="Q49" s="10">
        <f t="shared" si="4"/>
        <v>2.3999999999999998E-3</v>
      </c>
      <c r="R49" s="10">
        <f>Data!Q49</f>
        <v>-0.11</v>
      </c>
      <c r="S49" s="10">
        <f>Data!P49</f>
        <v>-0.69</v>
      </c>
      <c r="W49" s="17"/>
      <c r="X49" s="16"/>
      <c r="Y49" s="9"/>
      <c r="Z49" s="2"/>
    </row>
    <row r="50" spans="1:26" x14ac:dyDescent="0.25">
      <c r="A50" s="7">
        <f>Data!A50</f>
        <v>202106</v>
      </c>
      <c r="B50" s="7">
        <v>71360</v>
      </c>
      <c r="C50" s="7">
        <f>Data!F50</f>
        <v>838724</v>
      </c>
      <c r="D50" s="7">
        <f>IF(Data!D50="Malawi", 1, 0)</f>
        <v>1</v>
      </c>
      <c r="E50" s="7">
        <f t="shared" si="0"/>
        <v>1</v>
      </c>
      <c r="F50" s="7">
        <f t="shared" si="1"/>
        <v>1</v>
      </c>
      <c r="G50" s="10">
        <f>Data!L50</f>
        <v>0.76869722059796597</v>
      </c>
      <c r="H50" s="10">
        <f t="shared" si="2"/>
        <v>0.76869722059796597</v>
      </c>
      <c r="I50" s="10">
        <f>Data!H50</f>
        <v>0.76247636363636362</v>
      </c>
      <c r="J50" s="10">
        <f>Data!I50</f>
        <v>0.83809999999999996</v>
      </c>
      <c r="K50" s="10">
        <f t="shared" si="3"/>
        <v>0.77996832091576151</v>
      </c>
      <c r="L50" s="10">
        <f>Data!J50</f>
        <v>0.18566654622554779</v>
      </c>
      <c r="M50" s="21">
        <f>Data!K50</f>
        <v>576.5</v>
      </c>
      <c r="N50" s="21">
        <f>Data!M50</f>
        <v>74.127120971679688</v>
      </c>
      <c r="O50" s="21">
        <f>Data!N50</f>
        <v>74.127120971679688</v>
      </c>
      <c r="P50" s="10">
        <f>Data!O50</f>
        <v>5.7099999999999998E-2</v>
      </c>
      <c r="Q50" s="10">
        <f t="shared" si="4"/>
        <v>5.7099999999999998E-2</v>
      </c>
      <c r="R50" s="10">
        <f>Data!Q50</f>
        <v>-0.11</v>
      </c>
      <c r="S50" s="10">
        <f>Data!P50</f>
        <v>-0.69</v>
      </c>
      <c r="W50" s="17"/>
      <c r="X50" s="16"/>
      <c r="Y50" s="9"/>
      <c r="Z50" s="2"/>
    </row>
    <row r="51" spans="1:26" x14ac:dyDescent="0.25">
      <c r="A51" s="7">
        <f>Data!A51</f>
        <v>202102</v>
      </c>
      <c r="B51" s="7">
        <v>71360</v>
      </c>
      <c r="C51" s="7">
        <f>Data!F51</f>
        <v>506459</v>
      </c>
      <c r="D51" s="7">
        <f>IF(Data!D51="Malawi", 1, 0)</f>
        <v>1</v>
      </c>
      <c r="E51" s="7">
        <f t="shared" si="0"/>
        <v>1</v>
      </c>
      <c r="F51" s="7">
        <f t="shared" si="1"/>
        <v>1</v>
      </c>
      <c r="G51" s="10">
        <f>Data!L51</f>
        <v>0.225161538140072</v>
      </c>
      <c r="H51" s="10">
        <f t="shared" si="2"/>
        <v>0.225161538140072</v>
      </c>
      <c r="I51" s="10">
        <f>Data!H51</f>
        <v>0.67527866666666669</v>
      </c>
      <c r="J51" s="10">
        <f>Data!I51</f>
        <v>0.61639999999999995</v>
      </c>
      <c r="K51" s="10">
        <f t="shared" si="3"/>
        <v>0.62965721115030326</v>
      </c>
      <c r="L51" s="10">
        <f>Data!J51</f>
        <v>0.14015078544616699</v>
      </c>
      <c r="M51" s="21">
        <f>Data!K51</f>
        <v>576.5</v>
      </c>
      <c r="N51" s="21">
        <f>Data!M51</f>
        <v>73.956802368164063</v>
      </c>
      <c r="O51" s="21">
        <f>Data!N51</f>
        <v>73.956802368164063</v>
      </c>
      <c r="P51" s="10">
        <f>Data!O51</f>
        <v>6.5600000000000006E-2</v>
      </c>
      <c r="Q51" s="10">
        <f t="shared" si="4"/>
        <v>6.5600000000000006E-2</v>
      </c>
      <c r="R51" s="10">
        <f>Data!Q51</f>
        <v>-0.11</v>
      </c>
      <c r="S51" s="10">
        <f>Data!P51</f>
        <v>-0.69</v>
      </c>
      <c r="W51" s="17"/>
      <c r="X51" s="16"/>
      <c r="Y51" s="9"/>
      <c r="Z51" s="2"/>
    </row>
    <row r="52" spans="1:26" x14ac:dyDescent="0.25">
      <c r="A52" s="7">
        <f>Data!A52</f>
        <v>202012</v>
      </c>
      <c r="B52" s="7">
        <v>71360</v>
      </c>
      <c r="C52" s="7">
        <f>Data!F52</f>
        <v>106591</v>
      </c>
      <c r="D52" s="7">
        <f>IF(Data!D52="Malawi", 1, 0)</f>
        <v>1</v>
      </c>
      <c r="E52" s="7">
        <f t="shared" si="0"/>
        <v>0</v>
      </c>
      <c r="F52" s="7">
        <f t="shared" si="1"/>
        <v>0</v>
      </c>
      <c r="G52" s="10">
        <f>Data!L52</f>
        <v>8.2674954509423096E-2</v>
      </c>
      <c r="H52" s="10">
        <f t="shared" si="2"/>
        <v>0</v>
      </c>
      <c r="I52" s="10">
        <f>Data!H52</f>
        <v>0.71060666666666672</v>
      </c>
      <c r="J52" s="10">
        <f>Data!I52</f>
        <v>0.67490000000000006</v>
      </c>
      <c r="K52" s="10">
        <f t="shared" si="3"/>
        <v>0.67785204704234991</v>
      </c>
      <c r="L52" s="10">
        <f>Data!J52</f>
        <v>0.11803588271141052</v>
      </c>
      <c r="M52" s="21">
        <f>Data!K52</f>
        <v>595.5</v>
      </c>
      <c r="N52" s="21">
        <f>Data!M52</f>
        <v>64.067291259765625</v>
      </c>
      <c r="O52" s="21">
        <f>Data!N52</f>
        <v>64.067291259765625</v>
      </c>
      <c r="P52" s="10">
        <f>Data!O52</f>
        <v>8.0000000000000002E-3</v>
      </c>
      <c r="Q52" s="10">
        <f t="shared" si="4"/>
        <v>0</v>
      </c>
      <c r="R52" s="10">
        <f>Data!Q52</f>
        <v>-0.12</v>
      </c>
      <c r="S52" s="10">
        <f>Data!P52</f>
        <v>-0.84</v>
      </c>
      <c r="W52" s="17"/>
      <c r="X52" s="16"/>
      <c r="Y52" s="9"/>
      <c r="Z52" s="2"/>
    </row>
    <row r="53" spans="1:26" x14ac:dyDescent="0.25">
      <c r="A53" s="7">
        <f>Data!A53</f>
        <v>202011</v>
      </c>
      <c r="B53" s="7">
        <v>71360</v>
      </c>
      <c r="C53" s="7">
        <f>Data!F53</f>
        <v>979855</v>
      </c>
      <c r="D53" s="7">
        <f>IF(Data!D53="Malawi", 1, 0)</f>
        <v>1</v>
      </c>
      <c r="E53" s="7">
        <f t="shared" si="0"/>
        <v>0</v>
      </c>
      <c r="F53" s="7">
        <f t="shared" si="1"/>
        <v>0</v>
      </c>
      <c r="G53" s="10">
        <f>Data!L53</f>
        <v>0.92108775881226002</v>
      </c>
      <c r="H53" s="10">
        <f t="shared" si="2"/>
        <v>0</v>
      </c>
      <c r="I53" s="10">
        <f>Data!H53</f>
        <v>0.64977122015915123</v>
      </c>
      <c r="J53" s="10">
        <f>Data!I53</f>
        <v>0.65749999999999997</v>
      </c>
      <c r="K53" s="10">
        <f t="shared" si="3"/>
        <v>0.65038111549803923</v>
      </c>
      <c r="L53" s="10">
        <f>Data!J53</f>
        <v>0.18354517221450806</v>
      </c>
      <c r="M53" s="21">
        <f>Data!K53</f>
        <v>595.5</v>
      </c>
      <c r="N53" s="21">
        <f>Data!M53</f>
        <v>70.067466735839844</v>
      </c>
      <c r="O53" s="21">
        <f>Data!N53</f>
        <v>70.067466735839844</v>
      </c>
      <c r="P53" s="10">
        <f>Data!O53</f>
        <v>1.0699999999999999E-2</v>
      </c>
      <c r="Q53" s="10">
        <f t="shared" si="4"/>
        <v>0</v>
      </c>
      <c r="R53" s="10">
        <f>Data!Q53</f>
        <v>-0.12</v>
      </c>
      <c r="S53" s="10">
        <f>Data!P53</f>
        <v>-0.84</v>
      </c>
      <c r="W53" s="17"/>
      <c r="X53" s="16"/>
      <c r="Y53" s="9"/>
      <c r="Z53" s="2"/>
    </row>
    <row r="54" spans="1:26" x14ac:dyDescent="0.25">
      <c r="A54" s="7">
        <f>Data!A54</f>
        <v>201911</v>
      </c>
      <c r="B54" s="7">
        <v>71360</v>
      </c>
      <c r="C54" s="7">
        <f>Data!F54</f>
        <v>8637255</v>
      </c>
      <c r="D54" s="7">
        <f>IF(Data!D54="Malawi", 1, 0)</f>
        <v>1</v>
      </c>
      <c r="E54" s="7">
        <f t="shared" si="0"/>
        <v>0</v>
      </c>
      <c r="F54" s="7">
        <f t="shared" si="1"/>
        <v>0</v>
      </c>
      <c r="G54" s="10">
        <f>Data!L54</f>
        <v>0.94972290945076698</v>
      </c>
      <c r="H54" s="10">
        <f t="shared" si="2"/>
        <v>0</v>
      </c>
      <c r="I54" s="10">
        <f>Data!H54</f>
        <v>0.61889187446259675</v>
      </c>
      <c r="J54" s="10">
        <f>Data!I54</f>
        <v>0.62380000000000002</v>
      </c>
      <c r="K54" s="10">
        <f t="shared" si="3"/>
        <v>0.61913864073466773</v>
      </c>
      <c r="L54" s="10">
        <f>Data!J54</f>
        <v>7.9225353896617889E-2</v>
      </c>
      <c r="M54" s="21">
        <f>Data!K54</f>
        <v>569.4</v>
      </c>
      <c r="N54" s="21">
        <f>Data!M54</f>
        <v>73.078384399414063</v>
      </c>
      <c r="O54" s="21">
        <f>Data!N54</f>
        <v>73.078384399414063</v>
      </c>
      <c r="P54" s="10">
        <f>Data!O54</f>
        <v>0.14280000000000001</v>
      </c>
      <c r="Q54" s="10">
        <f t="shared" si="4"/>
        <v>0</v>
      </c>
      <c r="R54" s="10">
        <f>Data!Q54</f>
        <v>-0.28999999999999998</v>
      </c>
      <c r="S54" s="10">
        <f>Data!P54</f>
        <v>-0.8</v>
      </c>
      <c r="W54" s="17"/>
      <c r="X54" s="16"/>
      <c r="Y54" s="9"/>
      <c r="Z54" s="1"/>
    </row>
    <row r="55" spans="1:26" x14ac:dyDescent="0.25">
      <c r="A55" s="7">
        <f>Data!A55</f>
        <v>201910</v>
      </c>
      <c r="B55" s="7">
        <v>71360</v>
      </c>
      <c r="C55" s="7">
        <f>Data!F55</f>
        <v>8197805</v>
      </c>
      <c r="D55" s="7">
        <f>IF(Data!D55="Malawi", 1, 0)</f>
        <v>1</v>
      </c>
      <c r="E55" s="7">
        <f t="shared" si="0"/>
        <v>0</v>
      </c>
      <c r="F55" s="7">
        <f t="shared" si="1"/>
        <v>0</v>
      </c>
      <c r="G55" s="10">
        <f>Data!L55</f>
        <v>0.98743156893093897</v>
      </c>
      <c r="H55" s="10">
        <f t="shared" si="2"/>
        <v>0</v>
      </c>
      <c r="I55" s="10">
        <f>Data!H55</f>
        <v>0.60513803794197973</v>
      </c>
      <c r="J55" s="10">
        <f>Data!I55</f>
        <v>0.6069</v>
      </c>
      <c r="K55" s="10">
        <f t="shared" si="3"/>
        <v>0.60516018304065233</v>
      </c>
      <c r="L55" s="10">
        <f>Data!J55</f>
        <v>0.1681661456823349</v>
      </c>
      <c r="M55" s="21">
        <f>Data!K55</f>
        <v>569.4</v>
      </c>
      <c r="N55" s="21">
        <f>Data!M55</f>
        <v>97.83673095703125</v>
      </c>
      <c r="O55" s="21">
        <f>Data!N55</f>
        <v>97.83673095703125</v>
      </c>
      <c r="P55" s="10">
        <f>Data!O55</f>
        <v>0.1177</v>
      </c>
      <c r="Q55" s="10">
        <f t="shared" si="4"/>
        <v>0</v>
      </c>
      <c r="R55" s="10">
        <f>Data!Q55</f>
        <v>-0.28999999999999998</v>
      </c>
      <c r="S55" s="10">
        <f>Data!P55</f>
        <v>-0.8</v>
      </c>
      <c r="W55" s="17"/>
      <c r="X55" s="16"/>
      <c r="Y55" s="9"/>
      <c r="Z55" s="2"/>
    </row>
    <row r="56" spans="1:26" x14ac:dyDescent="0.25">
      <c r="A56" s="7">
        <f>Data!A56</f>
        <v>201909</v>
      </c>
      <c r="B56" s="7">
        <v>71360</v>
      </c>
      <c r="C56" s="7">
        <f>Data!F56</f>
        <v>2842758</v>
      </c>
      <c r="D56" s="7">
        <f>IF(Data!D56="Malawi", 1, 0)</f>
        <v>1</v>
      </c>
      <c r="E56" s="7">
        <f t="shared" si="0"/>
        <v>0</v>
      </c>
      <c r="F56" s="7">
        <f t="shared" si="1"/>
        <v>0</v>
      </c>
      <c r="G56" s="10">
        <f>Data!L56</f>
        <v>0.960337035038901</v>
      </c>
      <c r="H56" s="10">
        <f t="shared" si="2"/>
        <v>0</v>
      </c>
      <c r="I56" s="10">
        <f>Data!H56</f>
        <v>0.59002864259028642</v>
      </c>
      <c r="J56" s="10">
        <f>Data!I56</f>
        <v>0.59509999999999996</v>
      </c>
      <c r="K56" s="10">
        <f t="shared" si="3"/>
        <v>0.59022978766153311</v>
      </c>
      <c r="L56" s="10">
        <f>Data!J56</f>
        <v>0.15501129627227783</v>
      </c>
      <c r="M56" s="21">
        <f>Data!K56</f>
        <v>569.4</v>
      </c>
      <c r="N56" s="21">
        <f>Data!M56</f>
        <v>90.367988586425781</v>
      </c>
      <c r="O56" s="21">
        <f>Data!N56</f>
        <v>90.367988586425781</v>
      </c>
      <c r="P56" s="10">
        <f>Data!O56</f>
        <v>9.1300000000000006E-2</v>
      </c>
      <c r="Q56" s="10">
        <f t="shared" si="4"/>
        <v>0</v>
      </c>
      <c r="R56" s="10">
        <f>Data!Q56</f>
        <v>-0.28999999999999998</v>
      </c>
      <c r="S56" s="10">
        <f>Data!P56</f>
        <v>-0.8</v>
      </c>
      <c r="W56" s="17"/>
      <c r="X56" s="16"/>
      <c r="Y56" s="9"/>
      <c r="Z56" s="2"/>
    </row>
    <row r="57" spans="1:26" x14ac:dyDescent="0.25">
      <c r="A57" s="7">
        <f>Data!A57</f>
        <v>201908</v>
      </c>
      <c r="B57" s="7">
        <v>71360</v>
      </c>
      <c r="C57" s="7">
        <f>Data!F57</f>
        <v>2816675</v>
      </c>
      <c r="D57" s="7">
        <f>IF(Data!D57="Malawi", 1, 0)</f>
        <v>1</v>
      </c>
      <c r="E57" s="7">
        <f t="shared" si="0"/>
        <v>0</v>
      </c>
      <c r="F57" s="7">
        <f t="shared" si="1"/>
        <v>0</v>
      </c>
      <c r="G57" s="10">
        <f>Data!L57</f>
        <v>0.89274451249003905</v>
      </c>
      <c r="H57" s="10">
        <f t="shared" si="2"/>
        <v>0</v>
      </c>
      <c r="I57" s="10">
        <f>Data!H57</f>
        <v>0.61836992316136119</v>
      </c>
      <c r="J57" s="10">
        <f>Data!I57</f>
        <v>0.63239999999999996</v>
      </c>
      <c r="K57" s="10">
        <f t="shared" si="3"/>
        <v>0.6198747258924916</v>
      </c>
      <c r="L57" s="10">
        <f>Data!J57</f>
        <v>0.34510219097137451</v>
      </c>
      <c r="M57" s="21">
        <f>Data!K57</f>
        <v>569.4</v>
      </c>
      <c r="N57" s="21">
        <f>Data!M57</f>
        <v>103.4044189453125</v>
      </c>
      <c r="O57" s="21">
        <f>Data!N57</f>
        <v>103.4044189453125</v>
      </c>
      <c r="P57" s="10">
        <f>Data!O57</f>
        <v>0.12659999999999999</v>
      </c>
      <c r="Q57" s="10">
        <f t="shared" si="4"/>
        <v>0</v>
      </c>
      <c r="R57" s="10">
        <f>Data!Q57</f>
        <v>-0.28999999999999998</v>
      </c>
      <c r="S57" s="10">
        <f>Data!P57</f>
        <v>-0.8</v>
      </c>
      <c r="W57" s="17"/>
      <c r="X57" s="16"/>
      <c r="Y57" s="9"/>
      <c r="Z57" s="2"/>
    </row>
    <row r="58" spans="1:26" x14ac:dyDescent="0.25">
      <c r="A58" s="7">
        <f>Data!A58</f>
        <v>201907</v>
      </c>
      <c r="B58" s="7">
        <v>71360</v>
      </c>
      <c r="C58" s="7">
        <f>Data!F58</f>
        <v>1520952</v>
      </c>
      <c r="D58" s="7">
        <f>IF(Data!D58="Malawi", 1, 0)</f>
        <v>1</v>
      </c>
      <c r="E58" s="7">
        <f t="shared" si="0"/>
        <v>0</v>
      </c>
      <c r="F58" s="7">
        <f t="shared" si="1"/>
        <v>0</v>
      </c>
      <c r="G58" s="10">
        <f>Data!L58</f>
        <v>0.78180159295174101</v>
      </c>
      <c r="H58" s="10">
        <f t="shared" si="2"/>
        <v>0</v>
      </c>
      <c r="I58" s="10">
        <f>Data!H58</f>
        <v>0.60838080000000005</v>
      </c>
      <c r="J58" s="10">
        <f>Data!I58</f>
        <v>0.62039999999999995</v>
      </c>
      <c r="K58" s="10">
        <f t="shared" si="3"/>
        <v>0.61100337029399443</v>
      </c>
      <c r="L58" s="10">
        <f>Data!J58</f>
        <v>0.17255109548568726</v>
      </c>
      <c r="M58" s="21">
        <f>Data!K58</f>
        <v>569.4</v>
      </c>
      <c r="N58" s="21">
        <f>Data!M58</f>
        <v>93.521255493164063</v>
      </c>
      <c r="O58" s="21">
        <f>Data!N58</f>
        <v>93.521255493164063</v>
      </c>
      <c r="P58" s="10">
        <f>Data!O58</f>
        <v>0.1351</v>
      </c>
      <c r="Q58" s="10">
        <f t="shared" si="4"/>
        <v>0</v>
      </c>
      <c r="R58" s="10">
        <f>Data!Q58</f>
        <v>-0.28999999999999998</v>
      </c>
      <c r="S58" s="10">
        <f>Data!P58</f>
        <v>-0.8</v>
      </c>
      <c r="W58" s="17"/>
      <c r="X58" s="16"/>
      <c r="Y58" s="9"/>
      <c r="Z58" s="2"/>
    </row>
    <row r="59" spans="1:26" x14ac:dyDescent="0.25">
      <c r="A59" s="7">
        <f>Data!A59</f>
        <v>201906</v>
      </c>
      <c r="B59" s="7">
        <v>71360</v>
      </c>
      <c r="C59" s="7">
        <f>Data!F59</f>
        <v>30372</v>
      </c>
      <c r="D59" s="7">
        <f>IF(Data!D59="Malawi", 1, 0)</f>
        <v>1</v>
      </c>
      <c r="E59" s="7">
        <f t="shared" si="0"/>
        <v>0</v>
      </c>
      <c r="F59" s="7">
        <f t="shared" si="1"/>
        <v>0</v>
      </c>
      <c r="G59" s="10">
        <f>Data!L59</f>
        <v>0.123737044521217</v>
      </c>
      <c r="H59" s="10">
        <f t="shared" si="2"/>
        <v>0</v>
      </c>
      <c r="I59" s="10">
        <f>Data!H59</f>
        <v>0.60743999999999998</v>
      </c>
      <c r="J59" s="10">
        <f>Data!I59</f>
        <v>0.5464</v>
      </c>
      <c r="K59" s="10">
        <f t="shared" si="3"/>
        <v>0.55395290919757512</v>
      </c>
      <c r="L59" s="10">
        <f>Data!J59</f>
        <v>0.20709292590618134</v>
      </c>
      <c r="M59" s="21">
        <f>Data!K59</f>
        <v>569.4</v>
      </c>
      <c r="N59" s="21">
        <f>Data!M59</f>
        <v>106.58845520019531</v>
      </c>
      <c r="O59" s="21">
        <f>Data!N59</f>
        <v>106.58845520019531</v>
      </c>
      <c r="P59" s="10">
        <f>Data!O59</f>
        <v>4.0000000000000001E-3</v>
      </c>
      <c r="Q59" s="10">
        <f t="shared" si="4"/>
        <v>0</v>
      </c>
      <c r="R59" s="10">
        <f>Data!Q59</f>
        <v>-0.28999999999999998</v>
      </c>
      <c r="S59" s="10">
        <f>Data!P59</f>
        <v>-0.8</v>
      </c>
      <c r="W59" s="17"/>
      <c r="X59" s="16"/>
      <c r="Y59" s="9"/>
      <c r="Z59" s="2"/>
    </row>
    <row r="60" spans="1:26" x14ac:dyDescent="0.25">
      <c r="A60" s="7">
        <f>Data!A60</f>
        <v>201905</v>
      </c>
      <c r="B60" s="7">
        <v>71360</v>
      </c>
      <c r="C60" s="7">
        <f>Data!F60</f>
        <v>1826925</v>
      </c>
      <c r="D60" s="7">
        <f>IF(Data!D60="Malawi", 1, 0)</f>
        <v>1</v>
      </c>
      <c r="E60" s="7">
        <f t="shared" si="0"/>
        <v>0</v>
      </c>
      <c r="F60" s="7">
        <f t="shared" si="1"/>
        <v>0</v>
      </c>
      <c r="G60" s="10">
        <f>Data!L60</f>
        <v>0.93629498961679503</v>
      </c>
      <c r="H60" s="10">
        <f t="shared" si="2"/>
        <v>0</v>
      </c>
      <c r="I60" s="10">
        <f>Data!H60</f>
        <v>0.60897500000000004</v>
      </c>
      <c r="J60" s="10">
        <f>Data!I60</f>
        <v>0.60209999999999997</v>
      </c>
      <c r="K60" s="10">
        <f t="shared" si="3"/>
        <v>0.60853702805361554</v>
      </c>
      <c r="L60" s="10">
        <f>Data!J60</f>
        <v>0.26218515634536743</v>
      </c>
      <c r="M60" s="21">
        <f>Data!K60</f>
        <v>569.4</v>
      </c>
      <c r="N60" s="21">
        <f>Data!M60</f>
        <v>106.47190093994141</v>
      </c>
      <c r="O60" s="21">
        <f>Data!N60</f>
        <v>106.47190093994141</v>
      </c>
      <c r="P60" s="10">
        <f>Data!O60</f>
        <v>0.35780000000000001</v>
      </c>
      <c r="Q60" s="10">
        <f t="shared" si="4"/>
        <v>0</v>
      </c>
      <c r="R60" s="10">
        <f>Data!Q60</f>
        <v>-0.28999999999999998</v>
      </c>
      <c r="S60" s="10">
        <f>Data!P60</f>
        <v>-0.8</v>
      </c>
      <c r="W60" s="17"/>
      <c r="X60" s="16"/>
      <c r="Y60" s="9"/>
      <c r="Z60" s="2"/>
    </row>
    <row r="61" spans="1:26" x14ac:dyDescent="0.25">
      <c r="A61" s="7">
        <f>Data!A61</f>
        <v>201904</v>
      </c>
      <c r="B61" s="7">
        <v>71360</v>
      </c>
      <c r="C61" s="7">
        <f>Data!F61</f>
        <v>1951952</v>
      </c>
      <c r="D61" s="7">
        <f>IF(Data!D61="Malawi", 1, 0)</f>
        <v>1</v>
      </c>
      <c r="E61" s="7">
        <f t="shared" si="0"/>
        <v>0</v>
      </c>
      <c r="F61" s="7">
        <f t="shared" si="1"/>
        <v>0</v>
      </c>
      <c r="G61" s="10">
        <f>Data!L61</f>
        <v>0.94906525470289904</v>
      </c>
      <c r="H61" s="10">
        <f t="shared" si="2"/>
        <v>0</v>
      </c>
      <c r="I61" s="10">
        <f>Data!H61</f>
        <v>0.60525643410852714</v>
      </c>
      <c r="J61" s="10">
        <f>Data!I61</f>
        <v>0.60460000000000003</v>
      </c>
      <c r="K61" s="10">
        <f t="shared" si="3"/>
        <v>0.605222998804405</v>
      </c>
      <c r="L61" s="10">
        <f>Data!J61</f>
        <v>0.35365745425224304</v>
      </c>
      <c r="M61" s="21">
        <f>Data!K61</f>
        <v>569.4</v>
      </c>
      <c r="N61" s="21">
        <f>Data!M61</f>
        <v>79.253448486328125</v>
      </c>
      <c r="O61" s="21">
        <f>Data!N61</f>
        <v>79.253448486328125</v>
      </c>
      <c r="P61" s="10">
        <f>Data!O61</f>
        <v>0.25009999999999999</v>
      </c>
      <c r="Q61" s="10">
        <f t="shared" si="4"/>
        <v>0</v>
      </c>
      <c r="R61" s="10">
        <f>Data!Q61</f>
        <v>-0.28999999999999998</v>
      </c>
      <c r="S61" s="10">
        <f>Data!P61</f>
        <v>-0.8</v>
      </c>
      <c r="W61" s="17"/>
      <c r="X61" s="16"/>
      <c r="Y61" s="9"/>
      <c r="Z61" s="2"/>
    </row>
    <row r="62" spans="1:26" x14ac:dyDescent="0.25">
      <c r="A62" s="7">
        <f>Data!A62</f>
        <v>201903</v>
      </c>
      <c r="B62" s="7">
        <v>71360</v>
      </c>
      <c r="C62" s="7">
        <f>Data!F62</f>
        <v>1092687</v>
      </c>
      <c r="D62" s="7">
        <f>IF(Data!D62="Malawi", 1, 0)</f>
        <v>1</v>
      </c>
      <c r="E62" s="7">
        <f t="shared" si="0"/>
        <v>0</v>
      </c>
      <c r="F62" s="7">
        <f t="shared" si="1"/>
        <v>0</v>
      </c>
      <c r="G62" s="10">
        <f>Data!L62</f>
        <v>0.79852074227430903</v>
      </c>
      <c r="H62" s="10">
        <f t="shared" si="2"/>
        <v>0</v>
      </c>
      <c r="I62" s="10">
        <f>Data!H62</f>
        <v>0.61733728813559319</v>
      </c>
      <c r="J62" s="10">
        <f>Data!I62</f>
        <v>0.59740000000000004</v>
      </c>
      <c r="K62" s="10">
        <f t="shared" si="3"/>
        <v>0.61332033812097064</v>
      </c>
      <c r="L62" s="10">
        <f>Data!J62</f>
        <v>0.30866771936416626</v>
      </c>
      <c r="M62" s="21">
        <f>Data!K62</f>
        <v>569.4</v>
      </c>
      <c r="N62" s="21">
        <f>Data!M62</f>
        <v>82.328292846679688</v>
      </c>
      <c r="O62" s="21">
        <f>Data!N62</f>
        <v>82.328292846679688</v>
      </c>
      <c r="P62" s="10">
        <f>Data!O62</f>
        <v>4.5499999999999999E-2</v>
      </c>
      <c r="Q62" s="10">
        <f t="shared" si="4"/>
        <v>0</v>
      </c>
      <c r="R62" s="10">
        <f>Data!Q62</f>
        <v>-0.28999999999999998</v>
      </c>
      <c r="S62" s="10">
        <f>Data!P62</f>
        <v>-0.8</v>
      </c>
      <c r="W62" s="17"/>
      <c r="X62" s="16"/>
      <c r="Y62" s="9"/>
      <c r="Z62" s="2"/>
    </row>
    <row r="63" spans="1:26" x14ac:dyDescent="0.25">
      <c r="A63" s="7">
        <f>Data!A63</f>
        <v>201902</v>
      </c>
      <c r="B63" s="7">
        <v>71360</v>
      </c>
      <c r="C63" s="7">
        <f>Data!F63</f>
        <v>348149</v>
      </c>
      <c r="D63" s="7">
        <f>IF(Data!D63="Malawi", 1, 0)</f>
        <v>1</v>
      </c>
      <c r="E63" s="7">
        <f t="shared" si="0"/>
        <v>0</v>
      </c>
      <c r="F63" s="7">
        <f t="shared" si="1"/>
        <v>0</v>
      </c>
      <c r="G63" s="10">
        <f>Data!L63</f>
        <v>0.55716052958808504</v>
      </c>
      <c r="H63" s="10">
        <f t="shared" si="2"/>
        <v>0</v>
      </c>
      <c r="I63" s="10">
        <f>Data!H63</f>
        <v>0.63299818181818179</v>
      </c>
      <c r="J63" s="10">
        <f>Data!I63</f>
        <v>0.628</v>
      </c>
      <c r="K63" s="10">
        <f t="shared" si="3"/>
        <v>0.63078478962879569</v>
      </c>
      <c r="L63" s="10">
        <f>Data!J63</f>
        <v>0.3635161817073822</v>
      </c>
      <c r="M63" s="21">
        <f>Data!K63</f>
        <v>569.4</v>
      </c>
      <c r="N63" s="21">
        <f>Data!M63</f>
        <v>96.800163269042969</v>
      </c>
      <c r="O63" s="21">
        <f>Data!N63</f>
        <v>96.800163269042969</v>
      </c>
      <c r="P63" s="10">
        <f>Data!O63</f>
        <v>4.3700000000000003E-2</v>
      </c>
      <c r="Q63" s="10">
        <f t="shared" si="4"/>
        <v>0</v>
      </c>
      <c r="R63" s="10">
        <f>Data!Q63</f>
        <v>-0.28999999999999998</v>
      </c>
      <c r="S63" s="10">
        <f>Data!P63</f>
        <v>-0.8</v>
      </c>
      <c r="W63" s="17"/>
      <c r="X63" s="16"/>
      <c r="Y63" s="9"/>
      <c r="Z63" s="2"/>
    </row>
    <row r="64" spans="1:26" x14ac:dyDescent="0.25">
      <c r="A64" s="7">
        <f>Data!A64</f>
        <v>201901</v>
      </c>
      <c r="B64" s="7">
        <v>71360</v>
      </c>
      <c r="C64" s="7">
        <f>Data!F64</f>
        <v>2665756</v>
      </c>
      <c r="D64" s="7">
        <f>IF(Data!D64="Malawi", 1, 0)</f>
        <v>1</v>
      </c>
      <c r="E64" s="7">
        <f t="shared" si="0"/>
        <v>0</v>
      </c>
      <c r="F64" s="7">
        <f t="shared" si="1"/>
        <v>0</v>
      </c>
      <c r="G64" s="10">
        <f>Data!L64</f>
        <v>0.87994515188695499</v>
      </c>
      <c r="H64" s="10">
        <f t="shared" si="2"/>
        <v>0</v>
      </c>
      <c r="I64" s="10">
        <f>Data!H64</f>
        <v>0.58911734806629834</v>
      </c>
      <c r="J64" s="10">
        <f>Data!I64</f>
        <v>0.57999999999999996</v>
      </c>
      <c r="K64" s="10">
        <f t="shared" si="3"/>
        <v>0.58802276622900518</v>
      </c>
      <c r="L64" s="10">
        <f>Data!J64</f>
        <v>8.9247770607471466E-2</v>
      </c>
      <c r="M64" s="21">
        <f>Data!K64</f>
        <v>569.4</v>
      </c>
      <c r="N64" s="21">
        <f>Data!M64</f>
        <v>87.424102783203125</v>
      </c>
      <c r="O64" s="21">
        <f>Data!N64</f>
        <v>87.424102783203125</v>
      </c>
      <c r="P64" s="10">
        <f>Data!O64</f>
        <v>5.9799999999999999E-2</v>
      </c>
      <c r="Q64" s="10">
        <f t="shared" si="4"/>
        <v>0</v>
      </c>
      <c r="R64" s="10">
        <f>Data!Q64</f>
        <v>-0.28999999999999998</v>
      </c>
      <c r="S64" s="10">
        <f>Data!P64</f>
        <v>-0.8</v>
      </c>
      <c r="W64" s="17"/>
      <c r="X64" s="16"/>
      <c r="Y64" s="9"/>
      <c r="Z64" s="2"/>
    </row>
    <row r="65" spans="1:26" x14ac:dyDescent="0.25">
      <c r="A65" s="7">
        <f>Data!A65</f>
        <v>201810</v>
      </c>
      <c r="B65" s="7">
        <v>71360</v>
      </c>
      <c r="C65" s="7">
        <f>Data!F65</f>
        <v>2737171</v>
      </c>
      <c r="D65" s="7">
        <f>IF(Data!D65="Malawi", 1, 0)</f>
        <v>1</v>
      </c>
      <c r="E65" s="7">
        <f t="shared" si="0"/>
        <v>0</v>
      </c>
      <c r="F65" s="7">
        <f t="shared" si="1"/>
        <v>0</v>
      </c>
      <c r="G65" s="10">
        <f>Data!L65</f>
        <v>0.956745033066286</v>
      </c>
      <c r="H65" s="10">
        <f t="shared" si="2"/>
        <v>0</v>
      </c>
      <c r="I65" s="10">
        <f>Data!H65</f>
        <v>0.32194436603152199</v>
      </c>
      <c r="J65" s="10">
        <f>Data!I65</f>
        <v>0.32729999999999998</v>
      </c>
      <c r="K65" s="10">
        <f t="shared" si="3"/>
        <v>0.3221760238017376</v>
      </c>
      <c r="L65" s="10">
        <f>Data!J65</f>
        <v>0.20596474409103394</v>
      </c>
      <c r="M65" s="21">
        <f>Data!K65</f>
        <v>639.79999999999995</v>
      </c>
      <c r="N65" s="21">
        <f>Data!M65</f>
        <v>92.0164794921875</v>
      </c>
      <c r="O65" s="21">
        <f>Data!N65</f>
        <v>92.0164794921875</v>
      </c>
      <c r="P65" s="10">
        <f>Data!O65</f>
        <v>0.14099999999999999</v>
      </c>
      <c r="Q65" s="10">
        <f t="shared" si="4"/>
        <v>0</v>
      </c>
      <c r="R65" s="10">
        <f>Data!Q65</f>
        <v>-0.43</v>
      </c>
      <c r="S65" s="10">
        <f>Data!P65</f>
        <v>-1</v>
      </c>
      <c r="W65" s="17"/>
      <c r="X65" s="16"/>
      <c r="Y65" s="9"/>
      <c r="Z65" s="2"/>
    </row>
    <row r="66" spans="1:26" x14ac:dyDescent="0.25">
      <c r="A66" s="7">
        <f>Data!A66</f>
        <v>201809</v>
      </c>
      <c r="B66" s="7">
        <v>71360</v>
      </c>
      <c r="C66" s="7">
        <f>Data!F66</f>
        <v>4819552</v>
      </c>
      <c r="D66" s="7">
        <f>IF(Data!D66="Malawi", 1, 0)</f>
        <v>1</v>
      </c>
      <c r="E66" s="7">
        <f t="shared" ref="E66:E129" si="5">IF(A66&gt;202100, 1, 0)</f>
        <v>0</v>
      </c>
      <c r="F66" s="7">
        <f t="shared" ref="F66:F129" si="6">D66*E66</f>
        <v>0</v>
      </c>
      <c r="G66" s="10">
        <f>Data!L66</f>
        <v>0.96267317243878103</v>
      </c>
      <c r="H66" s="10">
        <f t="shared" si="2"/>
        <v>0</v>
      </c>
      <c r="I66" s="10">
        <f>Data!H66</f>
        <v>0.3480574853758937</v>
      </c>
      <c r="J66" s="10">
        <f>Data!I66</f>
        <v>0.35270000000000001</v>
      </c>
      <c r="K66" s="10">
        <f t="shared" si="3"/>
        <v>0.34823077571871819</v>
      </c>
      <c r="L66" s="10">
        <f>Data!J66</f>
        <v>0.15539689362049103</v>
      </c>
      <c r="M66" s="21">
        <f>Data!K66</f>
        <v>639.79999999999995</v>
      </c>
      <c r="N66" s="21">
        <f>Data!M66</f>
        <v>75.053909301757813</v>
      </c>
      <c r="O66" s="21">
        <f>Data!N66</f>
        <v>75.053909301757813</v>
      </c>
      <c r="P66" s="10">
        <f>Data!O66</f>
        <v>0.14030000000000001</v>
      </c>
      <c r="Q66" s="10">
        <f t="shared" si="4"/>
        <v>0</v>
      </c>
      <c r="R66" s="10">
        <f>Data!Q66</f>
        <v>-0.43</v>
      </c>
      <c r="S66" s="10">
        <f>Data!P66</f>
        <v>-1</v>
      </c>
      <c r="W66" s="17"/>
      <c r="X66" s="16"/>
      <c r="Y66" s="9"/>
      <c r="Z66" s="2"/>
    </row>
    <row r="67" spans="1:26" x14ac:dyDescent="0.25">
      <c r="A67" s="7">
        <f>Data!A67</f>
        <v>201808</v>
      </c>
      <c r="B67" s="7">
        <v>71360</v>
      </c>
      <c r="C67" s="7">
        <f>Data!F67</f>
        <v>1963083</v>
      </c>
      <c r="D67" s="7">
        <f>IF(Data!D67="Malawi", 1, 0)</f>
        <v>1</v>
      </c>
      <c r="E67" s="7">
        <f t="shared" si="5"/>
        <v>0</v>
      </c>
      <c r="F67" s="7">
        <f t="shared" si="6"/>
        <v>0</v>
      </c>
      <c r="G67" s="10">
        <f>Data!L67</f>
        <v>0.93853590764011396</v>
      </c>
      <c r="H67" s="10">
        <f t="shared" ref="H67:H130" si="7">F67*G67</f>
        <v>0</v>
      </c>
      <c r="I67" s="10">
        <f>Data!H67</f>
        <v>0.35601795429815014</v>
      </c>
      <c r="J67" s="10">
        <f>Data!I67</f>
        <v>0.36609999999999998</v>
      </c>
      <c r="K67" s="10">
        <f t="shared" ref="K67:K130" si="8">(I67*G67)+(J67*(1-G67))</f>
        <v>0.35663763808634524</v>
      </c>
      <c r="L67" s="10">
        <f>Data!J67</f>
        <v>0.14780311286449432</v>
      </c>
      <c r="M67" s="21">
        <f>Data!K67</f>
        <v>639.79999999999995</v>
      </c>
      <c r="N67" s="21">
        <f>Data!M67</f>
        <v>112.74168395996094</v>
      </c>
      <c r="O67" s="21">
        <f>Data!N67</f>
        <v>112.74168395996094</v>
      </c>
      <c r="P67" s="10">
        <f>Data!O67</f>
        <v>5.7099999999999998E-2</v>
      </c>
      <c r="Q67" s="10">
        <f t="shared" ref="Q67:Q130" si="9">P67*F67</f>
        <v>0</v>
      </c>
      <c r="R67" s="10">
        <f>Data!Q67</f>
        <v>-0.43</v>
      </c>
      <c r="S67" s="10">
        <f>Data!P67</f>
        <v>-1</v>
      </c>
      <c r="W67" s="17"/>
      <c r="X67" s="16"/>
      <c r="Y67" s="9"/>
      <c r="Z67" s="2"/>
    </row>
    <row r="68" spans="1:26" x14ac:dyDescent="0.25">
      <c r="A68" s="7">
        <f>Data!A68</f>
        <v>201802</v>
      </c>
      <c r="B68" s="7">
        <v>71360</v>
      </c>
      <c r="C68" s="7">
        <f>Data!F68</f>
        <v>119586</v>
      </c>
      <c r="D68" s="7">
        <f>IF(Data!D68="Malawi", 1, 0)</f>
        <v>1</v>
      </c>
      <c r="E68" s="7">
        <f t="shared" si="5"/>
        <v>0</v>
      </c>
      <c r="F68" s="7">
        <f t="shared" si="6"/>
        <v>0</v>
      </c>
      <c r="G68" s="10">
        <f>Data!L68</f>
        <v>0.43391304032307798</v>
      </c>
      <c r="H68" s="10">
        <f t="shared" si="7"/>
        <v>0</v>
      </c>
      <c r="I68" s="10">
        <f>Data!H68</f>
        <v>0.33218333333333333</v>
      </c>
      <c r="J68" s="10">
        <f>Data!I68</f>
        <v>0.47349999999999998</v>
      </c>
      <c r="K68" s="10">
        <f t="shared" si="8"/>
        <v>0.41218085551834371</v>
      </c>
      <c r="L68" s="10">
        <f>Data!J68</f>
        <v>7.9047709703445435E-2</v>
      </c>
      <c r="M68" s="21">
        <f>Data!K68</f>
        <v>639.79999999999995</v>
      </c>
      <c r="N68" s="21">
        <f>Data!M68</f>
        <v>64.491371154785156</v>
      </c>
      <c r="O68" s="21">
        <f>Data!N68</f>
        <v>64.491371154785156</v>
      </c>
      <c r="P68" s="10">
        <f>Data!O68</f>
        <v>1.9599999999999999E-2</v>
      </c>
      <c r="Q68" s="10">
        <f t="shared" si="9"/>
        <v>0</v>
      </c>
      <c r="R68" s="10">
        <f>Data!Q68</f>
        <v>-0.43</v>
      </c>
      <c r="S68" s="10">
        <f>Data!P68</f>
        <v>-1</v>
      </c>
      <c r="W68" s="17"/>
      <c r="X68" s="16"/>
      <c r="Y68" s="9"/>
      <c r="Z68" s="2"/>
    </row>
    <row r="69" spans="1:26" x14ac:dyDescent="0.25">
      <c r="A69" s="7">
        <f>Data!A69</f>
        <v>201712</v>
      </c>
      <c r="B69" s="7">
        <v>71360</v>
      </c>
      <c r="C69" s="7">
        <f>Data!F69</f>
        <v>597967</v>
      </c>
      <c r="D69" s="7">
        <f>IF(Data!D69="Malawi", 1, 0)</f>
        <v>1</v>
      </c>
      <c r="E69" s="7">
        <f t="shared" si="5"/>
        <v>0</v>
      </c>
      <c r="F69" s="7">
        <f t="shared" si="6"/>
        <v>0</v>
      </c>
      <c r="G69" s="10">
        <f>Data!L69</f>
        <v>0.78135286039276197</v>
      </c>
      <c r="H69" s="10">
        <f t="shared" si="7"/>
        <v>0</v>
      </c>
      <c r="I69" s="10">
        <f>Data!H69</f>
        <v>0.39339934210526317</v>
      </c>
      <c r="J69" s="10">
        <f>Data!I69</f>
        <v>0.40260000000000001</v>
      </c>
      <c r="K69" s="10">
        <f t="shared" si="8"/>
        <v>0.39541103963645219</v>
      </c>
      <c r="L69" s="10">
        <f>Data!J69</f>
        <v>6.3967831432819366E-2</v>
      </c>
      <c r="M69" s="21">
        <f>Data!K69</f>
        <v>592.4</v>
      </c>
      <c r="N69" s="21">
        <f>Data!M69</f>
        <v>82.718254089355469</v>
      </c>
      <c r="O69" s="21">
        <f>Data!N69</f>
        <v>82.718254089355469</v>
      </c>
      <c r="P69" s="10">
        <f>Data!O69</f>
        <v>3.5299999999999998E-2</v>
      </c>
      <c r="Q69" s="10">
        <f t="shared" si="9"/>
        <v>0</v>
      </c>
      <c r="R69" s="10">
        <f>Data!Q69</f>
        <v>-0.25</v>
      </c>
      <c r="S69" s="10">
        <f>Data!P69</f>
        <v>-0.77</v>
      </c>
      <c r="W69" s="17"/>
      <c r="X69" s="16"/>
      <c r="Y69" s="9"/>
      <c r="Z69" s="2"/>
    </row>
    <row r="70" spans="1:26" x14ac:dyDescent="0.25">
      <c r="A70" s="7">
        <f>Data!A70</f>
        <v>201711</v>
      </c>
      <c r="B70" s="7">
        <v>71360</v>
      </c>
      <c r="C70" s="7">
        <f>Data!F70</f>
        <v>452043</v>
      </c>
      <c r="D70" s="7">
        <f>IF(Data!D70="Malawi", 1, 0)</f>
        <v>1</v>
      </c>
      <c r="E70" s="7">
        <f t="shared" si="5"/>
        <v>0</v>
      </c>
      <c r="F70" s="7">
        <f t="shared" si="6"/>
        <v>0</v>
      </c>
      <c r="G70" s="10">
        <f>Data!L70</f>
        <v>0.587214490867215</v>
      </c>
      <c r="H70" s="10">
        <f t="shared" si="7"/>
        <v>0</v>
      </c>
      <c r="I70" s="10">
        <f>Data!H70</f>
        <v>0.31722315789473682</v>
      </c>
      <c r="J70" s="10">
        <f>Data!I70</f>
        <v>0.35820000000000002</v>
      </c>
      <c r="K70" s="10">
        <f t="shared" si="8"/>
        <v>0.33413780452581165</v>
      </c>
      <c r="L70" s="10">
        <f>Data!J70</f>
        <v>0.15569768846035004</v>
      </c>
      <c r="M70" s="21">
        <f>Data!K70</f>
        <v>592.4</v>
      </c>
      <c r="N70" s="21">
        <f>Data!M70</f>
        <v>92.596015930175781</v>
      </c>
      <c r="O70" s="21">
        <f>Data!N70</f>
        <v>92.596015930175781</v>
      </c>
      <c r="P70" s="10">
        <f>Data!O70</f>
        <v>2.6800000000000001E-2</v>
      </c>
      <c r="Q70" s="10">
        <f t="shared" si="9"/>
        <v>0</v>
      </c>
      <c r="R70" s="10">
        <f>Data!Q70</f>
        <v>-0.25</v>
      </c>
      <c r="S70" s="10">
        <f>Data!P70</f>
        <v>-0.77</v>
      </c>
      <c r="W70" s="17"/>
      <c r="X70" s="16"/>
      <c r="Y70" s="9"/>
      <c r="Z70" s="2"/>
    </row>
    <row r="71" spans="1:26" x14ac:dyDescent="0.25">
      <c r="A71" s="7">
        <f>Data!A71</f>
        <v>201710</v>
      </c>
      <c r="B71" s="7">
        <v>71360</v>
      </c>
      <c r="C71" s="7">
        <f>Data!F71</f>
        <v>311591</v>
      </c>
      <c r="D71" s="7">
        <f>IF(Data!D71="Malawi", 1, 0)</f>
        <v>1</v>
      </c>
      <c r="E71" s="7">
        <f t="shared" si="5"/>
        <v>0</v>
      </c>
      <c r="F71" s="7">
        <f t="shared" si="6"/>
        <v>0</v>
      </c>
      <c r="G71" s="10">
        <f>Data!L71</f>
        <v>0.29437144779007102</v>
      </c>
      <c r="H71" s="10">
        <f t="shared" si="7"/>
        <v>0</v>
      </c>
      <c r="I71" s="10">
        <f>Data!H71</f>
        <v>0.39947564102564104</v>
      </c>
      <c r="J71" s="10">
        <f>Data!I71</f>
        <v>0.54390000000000005</v>
      </c>
      <c r="K71" s="10">
        <f t="shared" si="8"/>
        <v>0.50138559235256508</v>
      </c>
      <c r="L71" s="10">
        <f>Data!J71</f>
        <v>0.12174336612224579</v>
      </c>
      <c r="M71" s="21">
        <f>Data!K71</f>
        <v>592.4</v>
      </c>
      <c r="N71" s="21">
        <f>Data!M71</f>
        <v>91.461570739746094</v>
      </c>
      <c r="O71" s="21">
        <f>Data!N71</f>
        <v>91.461570739746094</v>
      </c>
      <c r="P71" s="10">
        <f>Data!O71</f>
        <v>0.2485</v>
      </c>
      <c r="Q71" s="10">
        <f t="shared" si="9"/>
        <v>0</v>
      </c>
      <c r="R71" s="10">
        <f>Data!Q71</f>
        <v>-0.25</v>
      </c>
      <c r="S71" s="10">
        <f>Data!P71</f>
        <v>-0.77</v>
      </c>
      <c r="W71" s="17"/>
      <c r="X71" s="16"/>
      <c r="Y71" s="9"/>
      <c r="Z71" s="2"/>
    </row>
    <row r="72" spans="1:26" x14ac:dyDescent="0.25">
      <c r="A72" s="7">
        <f>Data!A72</f>
        <v>201709</v>
      </c>
      <c r="B72" s="7">
        <v>71360</v>
      </c>
      <c r="C72" s="7">
        <f>Data!F72</f>
        <v>2020693</v>
      </c>
      <c r="D72" s="7">
        <f>IF(Data!D72="Malawi", 1, 0)</f>
        <v>1</v>
      </c>
      <c r="E72" s="7">
        <f t="shared" si="5"/>
        <v>0</v>
      </c>
      <c r="F72" s="7">
        <f t="shared" si="6"/>
        <v>0</v>
      </c>
      <c r="G72" s="10">
        <f>Data!L72</f>
        <v>0.97105471314212999</v>
      </c>
      <c r="H72" s="10">
        <f t="shared" si="7"/>
        <v>0</v>
      </c>
      <c r="I72" s="10">
        <f>Data!H72</f>
        <v>0.49869027640671271</v>
      </c>
      <c r="J72" s="10">
        <f>Data!I72</f>
        <v>0.503</v>
      </c>
      <c r="K72" s="10">
        <f t="shared" si="8"/>
        <v>0.49881502259239857</v>
      </c>
      <c r="L72" s="10">
        <f>Data!J72</f>
        <v>0.28461575508117676</v>
      </c>
      <c r="M72" s="21">
        <f>Data!K72</f>
        <v>592.4</v>
      </c>
      <c r="N72" s="21">
        <f>Data!M72</f>
        <v>115.53444671630859</v>
      </c>
      <c r="O72" s="21">
        <f>Data!N72</f>
        <v>115.53444671630859</v>
      </c>
      <c r="P72" s="10">
        <f>Data!O72</f>
        <v>0.16950000000000001</v>
      </c>
      <c r="Q72" s="10">
        <f t="shared" si="9"/>
        <v>0</v>
      </c>
      <c r="R72" s="10">
        <f>Data!Q72</f>
        <v>-0.25</v>
      </c>
      <c r="S72" s="10">
        <f>Data!P72</f>
        <v>-0.77</v>
      </c>
      <c r="W72" s="17"/>
      <c r="X72" s="16"/>
      <c r="Y72" s="9"/>
      <c r="Z72" s="2"/>
    </row>
    <row r="73" spans="1:26" x14ac:dyDescent="0.25">
      <c r="A73" s="7">
        <f>Data!A73</f>
        <v>201708</v>
      </c>
      <c r="B73" s="7">
        <v>71360</v>
      </c>
      <c r="C73" s="7">
        <f>Data!F73</f>
        <v>806868</v>
      </c>
      <c r="D73" s="7">
        <f>IF(Data!D73="Malawi", 1, 0)</f>
        <v>1</v>
      </c>
      <c r="E73" s="7">
        <f t="shared" si="5"/>
        <v>0</v>
      </c>
      <c r="F73" s="7">
        <f t="shared" si="6"/>
        <v>0</v>
      </c>
      <c r="G73" s="10">
        <f>Data!L73</f>
        <v>0.87754074380210201</v>
      </c>
      <c r="H73" s="10">
        <f t="shared" si="7"/>
        <v>0</v>
      </c>
      <c r="I73" s="10">
        <f>Data!H73</f>
        <v>0.39282765335929892</v>
      </c>
      <c r="J73" s="10">
        <f>Data!I73</f>
        <v>0.41930000000000001</v>
      </c>
      <c r="K73" s="10">
        <f t="shared" si="8"/>
        <v>0.39606943723873211</v>
      </c>
      <c r="L73" s="10">
        <f>Data!J73</f>
        <v>0.18158513307571411</v>
      </c>
      <c r="M73" s="21">
        <f>Data!K73</f>
        <v>592.4</v>
      </c>
      <c r="N73" s="21">
        <f>Data!M73</f>
        <v>138.5316162109375</v>
      </c>
      <c r="O73" s="21">
        <f>Data!N73</f>
        <v>138.5316162109375</v>
      </c>
      <c r="P73" s="10">
        <f>Data!O73</f>
        <v>3.6900000000000002E-2</v>
      </c>
      <c r="Q73" s="10">
        <f t="shared" si="9"/>
        <v>0</v>
      </c>
      <c r="R73" s="10">
        <f>Data!Q73</f>
        <v>-0.25</v>
      </c>
      <c r="S73" s="10">
        <f>Data!P73</f>
        <v>-0.77</v>
      </c>
      <c r="W73" s="17"/>
      <c r="X73" s="16"/>
      <c r="Y73" s="9"/>
      <c r="Z73" s="2"/>
    </row>
    <row r="74" spans="1:26" x14ac:dyDescent="0.25">
      <c r="A74" s="7">
        <f>Data!A74</f>
        <v>201707</v>
      </c>
      <c r="B74" s="7">
        <v>71360</v>
      </c>
      <c r="C74" s="7">
        <f>Data!F74</f>
        <v>122724</v>
      </c>
      <c r="D74" s="7">
        <f>IF(Data!D74="Malawi", 1, 0)</f>
        <v>1</v>
      </c>
      <c r="E74" s="7">
        <f t="shared" si="5"/>
        <v>0</v>
      </c>
      <c r="F74" s="7">
        <f t="shared" si="6"/>
        <v>0</v>
      </c>
      <c r="G74" s="10">
        <f>Data!L74</f>
        <v>0.76741830187971305</v>
      </c>
      <c r="H74" s="10">
        <f t="shared" si="7"/>
        <v>0</v>
      </c>
      <c r="I74" s="10">
        <f>Data!H74</f>
        <v>0.51134999999999997</v>
      </c>
      <c r="J74" s="10">
        <f>Data!I74</f>
        <v>0.55400000000000005</v>
      </c>
      <c r="K74" s="10">
        <f t="shared" si="8"/>
        <v>0.52126960942483025</v>
      </c>
      <c r="L74" s="10">
        <f>Data!J74</f>
        <v>0.14306151866912842</v>
      </c>
      <c r="M74" s="21">
        <f>Data!K74</f>
        <v>592.4</v>
      </c>
      <c r="N74" s="21">
        <f>Data!M74</f>
        <v>102.81346130371094</v>
      </c>
      <c r="O74" s="21">
        <f>Data!N74</f>
        <v>102.81346130371094</v>
      </c>
      <c r="P74" s="10">
        <f>Data!O74</f>
        <v>3.8E-3</v>
      </c>
      <c r="Q74" s="10">
        <f t="shared" si="9"/>
        <v>0</v>
      </c>
      <c r="R74" s="10">
        <f>Data!Q74</f>
        <v>-0.25</v>
      </c>
      <c r="S74" s="10">
        <f>Data!P74</f>
        <v>-0.77</v>
      </c>
      <c r="W74" s="17"/>
      <c r="X74" s="16"/>
      <c r="Y74" s="9"/>
      <c r="Z74" s="2"/>
    </row>
    <row r="75" spans="1:26" x14ac:dyDescent="0.25">
      <c r="A75" s="7">
        <f>Data!A75</f>
        <v>201706</v>
      </c>
      <c r="B75" s="7">
        <v>71360</v>
      </c>
      <c r="C75" s="7">
        <f>Data!F75</f>
        <v>27036</v>
      </c>
      <c r="D75" s="7">
        <f>IF(Data!D75="Malawi", 1, 0)</f>
        <v>1</v>
      </c>
      <c r="E75" s="7">
        <f t="shared" si="5"/>
        <v>0</v>
      </c>
      <c r="F75" s="7">
        <f t="shared" si="6"/>
        <v>0</v>
      </c>
      <c r="G75" s="10">
        <f>Data!L75</f>
        <v>0.115156084284235</v>
      </c>
      <c r="H75" s="10">
        <f t="shared" si="7"/>
        <v>0</v>
      </c>
      <c r="I75" s="10">
        <f>Data!H75</f>
        <v>0.61445454545454548</v>
      </c>
      <c r="J75" s="10">
        <f>Data!I75</f>
        <v>0.9234</v>
      </c>
      <c r="K75" s="10">
        <f t="shared" si="8"/>
        <v>0.88782305119713234</v>
      </c>
      <c r="L75" s="10">
        <f>Data!J75</f>
        <v>0.2270381897687912</v>
      </c>
      <c r="M75" s="21">
        <f>Data!K75</f>
        <v>592.4</v>
      </c>
      <c r="N75" s="21">
        <f>Data!M75</f>
        <v>126.78901672363281</v>
      </c>
      <c r="O75" s="21">
        <f>Data!N75</f>
        <v>126.78901672363281</v>
      </c>
      <c r="P75" s="10">
        <f>Data!O75</f>
        <v>8.0000000000000004E-4</v>
      </c>
      <c r="Q75" s="10">
        <f t="shared" si="9"/>
        <v>0</v>
      </c>
      <c r="R75" s="10">
        <f>Data!Q75</f>
        <v>-0.25</v>
      </c>
      <c r="S75" s="10">
        <f>Data!P75</f>
        <v>-0.77</v>
      </c>
      <c r="W75" s="17"/>
      <c r="X75" s="16"/>
      <c r="Y75" s="9"/>
      <c r="Z75" s="2"/>
    </row>
    <row r="76" spans="1:26" x14ac:dyDescent="0.25">
      <c r="A76" s="7">
        <f>Data!A76</f>
        <v>201705</v>
      </c>
      <c r="B76" s="7">
        <v>71360</v>
      </c>
      <c r="C76" s="7">
        <f>Data!F76</f>
        <v>217345</v>
      </c>
      <c r="D76" s="7">
        <f>IF(Data!D76="Malawi", 1, 0)</f>
        <v>1</v>
      </c>
      <c r="E76" s="7">
        <f t="shared" si="5"/>
        <v>0</v>
      </c>
      <c r="F76" s="7">
        <f t="shared" si="6"/>
        <v>0</v>
      </c>
      <c r="G76" s="10">
        <f>Data!L76</f>
        <v>0.36882895174482899</v>
      </c>
      <c r="H76" s="10">
        <f t="shared" si="7"/>
        <v>0</v>
      </c>
      <c r="I76" s="10">
        <f>Data!H76</f>
        <v>0.90560416666666665</v>
      </c>
      <c r="J76" s="10">
        <f>Data!I76</f>
        <v>0.9304</v>
      </c>
      <c r="K76" s="10">
        <f t="shared" si="8"/>
        <v>0.92125457878402717</v>
      </c>
      <c r="L76" s="10">
        <f>Data!J76</f>
        <v>9.1389112174510956E-2</v>
      </c>
      <c r="M76" s="21">
        <f>Data!K76</f>
        <v>592.4</v>
      </c>
      <c r="N76" s="21">
        <f>Data!M76</f>
        <v>102.57996368408203</v>
      </c>
      <c r="O76" s="21">
        <f>Data!N76</f>
        <v>102.57996368408203</v>
      </c>
      <c r="P76" s="10">
        <f>Data!O76</f>
        <v>9.2999999999999992E-3</v>
      </c>
      <c r="Q76" s="10">
        <f t="shared" si="9"/>
        <v>0</v>
      </c>
      <c r="R76" s="10">
        <f>Data!Q76</f>
        <v>-0.25</v>
      </c>
      <c r="S76" s="10">
        <f>Data!P76</f>
        <v>-0.77</v>
      </c>
      <c r="W76" s="17"/>
      <c r="X76" s="16"/>
      <c r="Y76" s="9"/>
      <c r="Z76" s="2"/>
    </row>
    <row r="77" spans="1:26" x14ac:dyDescent="0.25">
      <c r="A77" s="7">
        <f>Data!A77</f>
        <v>201704</v>
      </c>
      <c r="B77" s="7">
        <v>71360</v>
      </c>
      <c r="C77" s="7">
        <f>Data!F77</f>
        <v>284928</v>
      </c>
      <c r="D77" s="7">
        <f>IF(Data!D77="Malawi", 1, 0)</f>
        <v>1</v>
      </c>
      <c r="E77" s="7">
        <f t="shared" si="5"/>
        <v>0</v>
      </c>
      <c r="F77" s="7">
        <f t="shared" si="6"/>
        <v>0</v>
      </c>
      <c r="G77" s="10">
        <f>Data!L77</f>
        <v>0.41133551805280799</v>
      </c>
      <c r="H77" s="10">
        <f t="shared" si="7"/>
        <v>0</v>
      </c>
      <c r="I77" s="10">
        <f>Data!H77</f>
        <v>0.81408000000000003</v>
      </c>
      <c r="J77" s="10">
        <f>Data!I77</f>
        <v>0.87490000000000001</v>
      </c>
      <c r="K77" s="10">
        <f t="shared" si="8"/>
        <v>0.84988257379202814</v>
      </c>
      <c r="L77" s="10">
        <f>Data!J77</f>
        <v>0.14710518717765808</v>
      </c>
      <c r="M77" s="21">
        <f>Data!K77</f>
        <v>592.4</v>
      </c>
      <c r="N77" s="21">
        <f>Data!M77</f>
        <v>119.45992279052734</v>
      </c>
      <c r="O77" s="21">
        <f>Data!N77</f>
        <v>119.45992279052734</v>
      </c>
      <c r="P77" s="10">
        <f>Data!O77</f>
        <v>7.4999999999999997E-3</v>
      </c>
      <c r="Q77" s="10">
        <f t="shared" si="9"/>
        <v>0</v>
      </c>
      <c r="R77" s="10">
        <f>Data!Q77</f>
        <v>-0.25</v>
      </c>
      <c r="S77" s="10">
        <f>Data!P77</f>
        <v>-0.77</v>
      </c>
      <c r="W77" s="17"/>
      <c r="X77" s="16"/>
      <c r="Y77" s="9"/>
      <c r="Z77" s="2"/>
    </row>
    <row r="78" spans="1:26" x14ac:dyDescent="0.25">
      <c r="A78" s="7">
        <f>Data!A78</f>
        <v>201703</v>
      </c>
      <c r="B78" s="7">
        <v>71360</v>
      </c>
      <c r="C78" s="7">
        <f>Data!F78</f>
        <v>163331</v>
      </c>
      <c r="D78" s="7">
        <f>IF(Data!D78="Malawi", 1, 0)</f>
        <v>1</v>
      </c>
      <c r="E78" s="7">
        <f t="shared" si="5"/>
        <v>0</v>
      </c>
      <c r="F78" s="7">
        <f t="shared" si="6"/>
        <v>0</v>
      </c>
      <c r="G78" s="10">
        <f>Data!L78</f>
        <v>0.19295453847371499</v>
      </c>
      <c r="H78" s="10">
        <f t="shared" si="7"/>
        <v>0</v>
      </c>
      <c r="I78" s="10">
        <f>Data!H78</f>
        <v>0.58541577060931904</v>
      </c>
      <c r="J78" s="10">
        <f>Data!I78</f>
        <v>0.74580000000000002</v>
      </c>
      <c r="K78" s="10">
        <f t="shared" si="8"/>
        <v>0.71485313503945869</v>
      </c>
      <c r="L78" s="10">
        <f>Data!J78</f>
        <v>0.14420303702354431</v>
      </c>
      <c r="M78" s="21">
        <f>Data!K78</f>
        <v>592.4</v>
      </c>
      <c r="N78" s="21">
        <f>Data!M78</f>
        <v>96.635879516601563</v>
      </c>
      <c r="O78" s="21">
        <f>Data!N78</f>
        <v>96.635879516601563</v>
      </c>
      <c r="P78" s="10">
        <f>Data!O78</f>
        <v>6.1000000000000004E-3</v>
      </c>
      <c r="Q78" s="10">
        <f t="shared" si="9"/>
        <v>0</v>
      </c>
      <c r="R78" s="10">
        <f>Data!Q78</f>
        <v>-0.25</v>
      </c>
      <c r="S78" s="10">
        <f>Data!P78</f>
        <v>-0.77</v>
      </c>
      <c r="W78" s="17"/>
      <c r="X78" s="16"/>
      <c r="Y78" s="9"/>
      <c r="Z78" s="2"/>
    </row>
    <row r="79" spans="1:26" x14ac:dyDescent="0.25">
      <c r="A79" s="7">
        <f>Data!A79</f>
        <v>201702</v>
      </c>
      <c r="B79" s="7">
        <v>71360</v>
      </c>
      <c r="C79" s="7">
        <f>Data!F79</f>
        <v>1848825</v>
      </c>
      <c r="D79" s="7">
        <f>IF(Data!D79="Malawi", 1, 0)</f>
        <v>1</v>
      </c>
      <c r="E79" s="7">
        <f t="shared" si="5"/>
        <v>0</v>
      </c>
      <c r="F79" s="7">
        <f t="shared" si="6"/>
        <v>0</v>
      </c>
      <c r="G79" s="10">
        <f>Data!L79</f>
        <v>0.85691422352700097</v>
      </c>
      <c r="H79" s="10">
        <f t="shared" si="7"/>
        <v>0</v>
      </c>
      <c r="I79" s="10">
        <f>Data!H79</f>
        <v>0.72673938679245287</v>
      </c>
      <c r="J79" s="10">
        <f>Data!I79</f>
        <v>0.76839999999999997</v>
      </c>
      <c r="K79" s="10">
        <f t="shared" si="8"/>
        <v>0.73270042798159607</v>
      </c>
      <c r="L79" s="10">
        <f>Data!J79</f>
        <v>0.16521643102169037</v>
      </c>
      <c r="M79" s="21">
        <f>Data!K79</f>
        <v>592.4</v>
      </c>
      <c r="N79" s="21">
        <f>Data!M79</f>
        <v>114.20635986328125</v>
      </c>
      <c r="O79" s="21">
        <f>Data!N79</f>
        <v>114.20635986328125</v>
      </c>
      <c r="P79" s="10">
        <f>Data!O79</f>
        <v>6.8599999999999994E-2</v>
      </c>
      <c r="Q79" s="10">
        <f t="shared" si="9"/>
        <v>0</v>
      </c>
      <c r="R79" s="10">
        <f>Data!Q79</f>
        <v>-0.25</v>
      </c>
      <c r="S79" s="10">
        <f>Data!P79</f>
        <v>-0.77</v>
      </c>
      <c r="W79" s="17"/>
      <c r="X79" s="16"/>
      <c r="Y79" s="9"/>
      <c r="Z79" s="2"/>
    </row>
    <row r="80" spans="1:26" x14ac:dyDescent="0.25">
      <c r="A80" s="7">
        <f>Data!A80</f>
        <v>201701</v>
      </c>
      <c r="B80" s="7">
        <v>71360</v>
      </c>
      <c r="C80" s="7">
        <f>Data!F80</f>
        <v>2054367</v>
      </c>
      <c r="D80" s="7">
        <f>IF(Data!D80="Malawi", 1, 0)</f>
        <v>1</v>
      </c>
      <c r="E80" s="7">
        <f t="shared" si="5"/>
        <v>0</v>
      </c>
      <c r="F80" s="7">
        <f t="shared" si="6"/>
        <v>0</v>
      </c>
      <c r="G80" s="10">
        <f>Data!L80</f>
        <v>0.91551942657901098</v>
      </c>
      <c r="H80" s="10">
        <f t="shared" si="7"/>
        <v>0</v>
      </c>
      <c r="I80" s="10">
        <f>Data!H80</f>
        <v>0.71190054578532447</v>
      </c>
      <c r="J80" s="10">
        <f>Data!I80</f>
        <v>0.72629999999999995</v>
      </c>
      <c r="K80" s="10">
        <f t="shared" si="8"/>
        <v>0.71311701993432952</v>
      </c>
      <c r="L80" s="10">
        <f>Data!J80</f>
        <v>0.18233387172222137</v>
      </c>
      <c r="M80" s="21">
        <f>Data!K80</f>
        <v>592.4</v>
      </c>
      <c r="N80" s="21">
        <f>Data!M80</f>
        <v>105.20123291015625</v>
      </c>
      <c r="O80" s="21">
        <f>Data!N80</f>
        <v>105.20123291015625</v>
      </c>
      <c r="P80" s="10">
        <f>Data!O80</f>
        <v>6.2899999999999998E-2</v>
      </c>
      <c r="Q80" s="10">
        <f t="shared" si="9"/>
        <v>0</v>
      </c>
      <c r="R80" s="10">
        <f>Data!Q80</f>
        <v>-0.25</v>
      </c>
      <c r="S80" s="10">
        <f>Data!P80</f>
        <v>-0.77</v>
      </c>
      <c r="W80" s="17"/>
      <c r="X80" s="16"/>
      <c r="Y80" s="9"/>
      <c r="Z80" s="2"/>
    </row>
    <row r="81" spans="1:26" x14ac:dyDescent="0.25">
      <c r="A81" s="7">
        <f>Data!A81</f>
        <v>201612</v>
      </c>
      <c r="B81" s="7">
        <v>71360</v>
      </c>
      <c r="C81" s="7">
        <f>Data!F81</f>
        <v>9071258</v>
      </c>
      <c r="D81" s="7">
        <f>IF(Data!D81="Malawi", 1, 0)</f>
        <v>1</v>
      </c>
      <c r="E81" s="7">
        <f t="shared" si="5"/>
        <v>0</v>
      </c>
      <c r="F81" s="7">
        <f t="shared" si="6"/>
        <v>0</v>
      </c>
      <c r="G81" s="10">
        <f>Data!L81</f>
        <v>0.99639852434840503</v>
      </c>
      <c r="H81" s="10">
        <f t="shared" si="7"/>
        <v>0</v>
      </c>
      <c r="I81" s="10">
        <f>Data!H81</f>
        <v>0.70389121818447475</v>
      </c>
      <c r="J81" s="10">
        <f>Data!I81</f>
        <v>0.70389999999999997</v>
      </c>
      <c r="K81" s="10">
        <f t="shared" si="8"/>
        <v>0.70389124981196949</v>
      </c>
      <c r="L81" s="10">
        <f>Data!J81</f>
        <v>0.16102194786071777</v>
      </c>
      <c r="M81" s="21">
        <f>Data!K81</f>
        <v>797.4</v>
      </c>
      <c r="N81" s="21">
        <f>Data!M81</f>
        <v>102.18046569824219</v>
      </c>
      <c r="O81" s="21">
        <f>Data!N81</f>
        <v>102.18046569824219</v>
      </c>
      <c r="P81" s="10">
        <f>Data!O81</f>
        <v>0.122</v>
      </c>
      <c r="Q81" s="10">
        <f t="shared" si="9"/>
        <v>0</v>
      </c>
      <c r="R81" s="10">
        <f>Data!Q81</f>
        <v>-0.12</v>
      </c>
      <c r="S81" s="10">
        <f>Data!P81</f>
        <v>-0.96</v>
      </c>
      <c r="W81" s="17"/>
      <c r="X81" s="16"/>
      <c r="Y81" s="9"/>
      <c r="Z81" s="2"/>
    </row>
    <row r="82" spans="1:26" x14ac:dyDescent="0.25">
      <c r="A82" s="7">
        <f>Data!A82</f>
        <v>201611</v>
      </c>
      <c r="B82" s="7">
        <v>71360</v>
      </c>
      <c r="C82" s="7">
        <f>Data!F82</f>
        <v>5624967</v>
      </c>
      <c r="D82" s="7">
        <f>IF(Data!D82="Malawi", 1, 0)</f>
        <v>1</v>
      </c>
      <c r="E82" s="7">
        <f t="shared" si="5"/>
        <v>0</v>
      </c>
      <c r="F82" s="7">
        <f t="shared" si="6"/>
        <v>0</v>
      </c>
      <c r="G82" s="10">
        <f>Data!L82</f>
        <v>0.88675217582672505</v>
      </c>
      <c r="H82" s="10">
        <f t="shared" si="7"/>
        <v>0</v>
      </c>
      <c r="I82" s="10">
        <f>Data!H82</f>
        <v>0.77962120582120586</v>
      </c>
      <c r="J82" s="10">
        <f>Data!I82</f>
        <v>0.80659999999999998</v>
      </c>
      <c r="K82" s="10">
        <f t="shared" si="8"/>
        <v>0.7826764955607729</v>
      </c>
      <c r="L82" s="10">
        <f>Data!J82</f>
        <v>0.1230706125497818</v>
      </c>
      <c r="M82" s="21">
        <f>Data!K82</f>
        <v>797.4</v>
      </c>
      <c r="N82" s="21">
        <f>Data!M82</f>
        <v>82.918754577636719</v>
      </c>
      <c r="O82" s="21">
        <f>Data!N82</f>
        <v>82.918754577636719</v>
      </c>
      <c r="P82" s="10">
        <f>Data!O82</f>
        <v>5.79E-2</v>
      </c>
      <c r="Q82" s="10">
        <f t="shared" si="9"/>
        <v>0</v>
      </c>
      <c r="R82" s="10">
        <f>Data!Q82</f>
        <v>-0.12</v>
      </c>
      <c r="S82" s="10">
        <f>Data!P82</f>
        <v>-0.96</v>
      </c>
      <c r="W82" s="17"/>
      <c r="X82" s="16"/>
      <c r="Y82" s="9"/>
      <c r="Z82" s="2"/>
    </row>
    <row r="83" spans="1:26" x14ac:dyDescent="0.25">
      <c r="A83" s="7">
        <f>Data!A83</f>
        <v>201610</v>
      </c>
      <c r="B83" s="7">
        <v>71360</v>
      </c>
      <c r="C83" s="7">
        <f>Data!F83</f>
        <v>9644246</v>
      </c>
      <c r="D83" s="7">
        <f>IF(Data!D83="Malawi", 1, 0)</f>
        <v>1</v>
      </c>
      <c r="E83" s="7">
        <f t="shared" si="5"/>
        <v>0</v>
      </c>
      <c r="F83" s="7">
        <f t="shared" si="6"/>
        <v>0</v>
      </c>
      <c r="G83" s="10">
        <f>Data!L83</f>
        <v>0.97370606356854095</v>
      </c>
      <c r="H83" s="10">
        <f t="shared" si="7"/>
        <v>0</v>
      </c>
      <c r="I83" s="10">
        <f>Data!H83</f>
        <v>0.93722456247043917</v>
      </c>
      <c r="J83" s="10">
        <f>Data!I83</f>
        <v>0.94820000000000004</v>
      </c>
      <c r="K83" s="10">
        <f t="shared" si="8"/>
        <v>0.93751314992714885</v>
      </c>
      <c r="L83" s="10">
        <f>Data!J83</f>
        <v>0.16687935590744019</v>
      </c>
      <c r="M83" s="21">
        <f>Data!K83</f>
        <v>797.4</v>
      </c>
      <c r="N83" s="21">
        <f>Data!M83</f>
        <v>85.747787475585938</v>
      </c>
      <c r="O83" s="21">
        <f>Data!N83</f>
        <v>85.747787475585938</v>
      </c>
      <c r="P83" s="10">
        <f>Data!O83</f>
        <v>0.1172</v>
      </c>
      <c r="Q83" s="10">
        <f t="shared" si="9"/>
        <v>0</v>
      </c>
      <c r="R83" s="10">
        <f>Data!Q83</f>
        <v>-0.12</v>
      </c>
      <c r="S83" s="10">
        <f>Data!P83</f>
        <v>-0.96</v>
      </c>
      <c r="W83" s="17"/>
      <c r="X83" s="16"/>
      <c r="Y83" s="9"/>
      <c r="Z83" s="2"/>
    </row>
    <row r="84" spans="1:26" x14ac:dyDescent="0.25">
      <c r="A84" s="7">
        <f>Data!A84</f>
        <v>201609</v>
      </c>
      <c r="B84" s="7">
        <v>71360</v>
      </c>
      <c r="C84" s="7">
        <f>Data!F84</f>
        <v>7472788</v>
      </c>
      <c r="D84" s="7">
        <f>IF(Data!D84="Malawi", 1, 0)</f>
        <v>1</v>
      </c>
      <c r="E84" s="7">
        <f t="shared" si="5"/>
        <v>0</v>
      </c>
      <c r="F84" s="7">
        <f t="shared" si="6"/>
        <v>0</v>
      </c>
      <c r="G84" s="10">
        <f>Data!L84</f>
        <v>0.96769230111792104</v>
      </c>
      <c r="H84" s="10">
        <f t="shared" si="7"/>
        <v>0</v>
      </c>
      <c r="I84" s="10">
        <f>Data!H84</f>
        <v>1.0538412071640106</v>
      </c>
      <c r="J84" s="10">
        <f>Data!I84</f>
        <v>1.0580000000000001</v>
      </c>
      <c r="K84" s="10">
        <f t="shared" si="8"/>
        <v>1.0539755681906688</v>
      </c>
      <c r="L84" s="10">
        <f>Data!J84</f>
        <v>0.17644686996936798</v>
      </c>
      <c r="M84" s="21">
        <f>Data!K84</f>
        <v>797.4</v>
      </c>
      <c r="N84" s="21">
        <f>Data!M84</f>
        <v>104.54522705078125</v>
      </c>
      <c r="O84" s="21">
        <f>Data!N84</f>
        <v>104.54522705078125</v>
      </c>
      <c r="P84" s="10">
        <f>Data!O84</f>
        <v>0.18740000000000001</v>
      </c>
      <c r="Q84" s="10">
        <f t="shared" si="9"/>
        <v>0</v>
      </c>
      <c r="R84" s="10">
        <f>Data!Q84</f>
        <v>-0.12</v>
      </c>
      <c r="S84" s="10">
        <f>Data!P84</f>
        <v>-0.96</v>
      </c>
      <c r="W84" s="17"/>
      <c r="X84" s="16"/>
      <c r="Y84" s="9"/>
      <c r="Z84" s="2"/>
    </row>
    <row r="85" spans="1:26" x14ac:dyDescent="0.25">
      <c r="A85" s="7">
        <f>Data!A85</f>
        <v>201608</v>
      </c>
      <c r="B85" s="7">
        <v>71360</v>
      </c>
      <c r="C85" s="7">
        <f>Data!F85</f>
        <v>1026494</v>
      </c>
      <c r="D85" s="7">
        <f>IF(Data!D85="Malawi", 1, 0)</f>
        <v>1</v>
      </c>
      <c r="E85" s="7">
        <f t="shared" si="5"/>
        <v>0</v>
      </c>
      <c r="F85" s="7">
        <f t="shared" si="6"/>
        <v>0</v>
      </c>
      <c r="G85" s="10">
        <f>Data!L85</f>
        <v>0.90299975368591401</v>
      </c>
      <c r="H85" s="10">
        <f t="shared" si="7"/>
        <v>0</v>
      </c>
      <c r="I85" s="10">
        <f>Data!H85</f>
        <v>1.0073542688910697</v>
      </c>
      <c r="J85" s="10">
        <f>Data!I85</f>
        <v>1.0630999999999999</v>
      </c>
      <c r="K85" s="10">
        <f t="shared" si="8"/>
        <v>1.0127616185395947</v>
      </c>
      <c r="L85" s="10">
        <f>Data!J85</f>
        <v>0.12921231985092163</v>
      </c>
      <c r="M85" s="21">
        <f>Data!K85</f>
        <v>797.4</v>
      </c>
      <c r="N85" s="21">
        <f>Data!M85</f>
        <v>98.738487243652344</v>
      </c>
      <c r="O85" s="21">
        <f>Data!N85</f>
        <v>98.738487243652344</v>
      </c>
      <c r="P85" s="10">
        <f>Data!O85</f>
        <v>2.6100000000000002E-2</v>
      </c>
      <c r="Q85" s="10">
        <f t="shared" si="9"/>
        <v>0</v>
      </c>
      <c r="R85" s="10">
        <f>Data!Q85</f>
        <v>-0.12</v>
      </c>
      <c r="S85" s="10">
        <f>Data!P85</f>
        <v>-0.96</v>
      </c>
      <c r="W85" s="17"/>
      <c r="X85" s="16"/>
      <c r="Y85" s="9"/>
      <c r="Z85" s="2"/>
    </row>
    <row r="86" spans="1:26" x14ac:dyDescent="0.25">
      <c r="A86" s="7">
        <f>Data!A86</f>
        <v>201607</v>
      </c>
      <c r="B86" s="7">
        <v>71360</v>
      </c>
      <c r="C86" s="7">
        <f>Data!F86</f>
        <v>144379</v>
      </c>
      <c r="D86" s="7">
        <f>IF(Data!D86="Malawi", 1, 0)</f>
        <v>1</v>
      </c>
      <c r="E86" s="7">
        <f t="shared" si="5"/>
        <v>0</v>
      </c>
      <c r="F86" s="7">
        <f t="shared" si="6"/>
        <v>0</v>
      </c>
      <c r="G86" s="10">
        <f>Data!L86</f>
        <v>0.61419315866270097</v>
      </c>
      <c r="H86" s="10">
        <f t="shared" si="7"/>
        <v>0</v>
      </c>
      <c r="I86" s="10">
        <f>Data!H86</f>
        <v>1.1550320000000001</v>
      </c>
      <c r="J86" s="10">
        <f>Data!I86</f>
        <v>1.3420000000000001</v>
      </c>
      <c r="K86" s="10">
        <f t="shared" si="8"/>
        <v>1.2271655335111522</v>
      </c>
      <c r="L86" s="10">
        <f>Data!J86</f>
        <v>0.27500858902931213</v>
      </c>
      <c r="M86" s="21">
        <f>Data!K86</f>
        <v>797.4</v>
      </c>
      <c r="N86" s="21">
        <f>Data!M86</f>
        <v>114.61045074462891</v>
      </c>
      <c r="O86" s="21">
        <f>Data!N86</f>
        <v>114.61045074462891</v>
      </c>
      <c r="P86" s="10">
        <f>Data!O86</f>
        <v>3.3E-3</v>
      </c>
      <c r="Q86" s="10">
        <f t="shared" si="9"/>
        <v>0</v>
      </c>
      <c r="R86" s="10">
        <f>Data!Q86</f>
        <v>-0.12</v>
      </c>
      <c r="S86" s="10">
        <f>Data!P86</f>
        <v>-0.96</v>
      </c>
      <c r="W86" s="17"/>
      <c r="X86" s="16"/>
      <c r="Y86" s="9"/>
      <c r="Z86" s="2"/>
    </row>
    <row r="87" spans="1:26" x14ac:dyDescent="0.25">
      <c r="A87" s="7">
        <f>Data!A87</f>
        <v>201606</v>
      </c>
      <c r="B87" s="7">
        <v>71360</v>
      </c>
      <c r="C87" s="7">
        <f>Data!F87</f>
        <v>191252</v>
      </c>
      <c r="D87" s="7">
        <f>IF(Data!D87="Malawi", 1, 0)</f>
        <v>1</v>
      </c>
      <c r="E87" s="7">
        <f t="shared" si="5"/>
        <v>0</v>
      </c>
      <c r="F87" s="7">
        <f t="shared" si="6"/>
        <v>0</v>
      </c>
      <c r="G87" s="10">
        <f>Data!L87</f>
        <v>0.476080473561318</v>
      </c>
      <c r="H87" s="10">
        <f t="shared" si="7"/>
        <v>0</v>
      </c>
      <c r="I87" s="10">
        <f>Data!H87</f>
        <v>1.5423548387096775</v>
      </c>
      <c r="J87" s="10">
        <f>Data!I87</f>
        <v>1.8069999999999999</v>
      </c>
      <c r="K87" s="10">
        <f t="shared" si="8"/>
        <v>1.6810076062871917</v>
      </c>
      <c r="L87" s="10">
        <f>Data!J87</f>
        <v>0.10855713486671448</v>
      </c>
      <c r="M87" s="21">
        <f>Data!K87</f>
        <v>797.4</v>
      </c>
      <c r="N87" s="21">
        <f>Data!M87</f>
        <v>90.168128967285156</v>
      </c>
      <c r="O87" s="21">
        <f>Data!N87</f>
        <v>90.168128967285156</v>
      </c>
      <c r="P87" s="10">
        <f>Data!O87</f>
        <v>5.0000000000000001E-3</v>
      </c>
      <c r="Q87" s="10">
        <f t="shared" si="9"/>
        <v>0</v>
      </c>
      <c r="R87" s="10">
        <f>Data!Q87</f>
        <v>-0.12</v>
      </c>
      <c r="S87" s="10">
        <f>Data!P87</f>
        <v>-0.96</v>
      </c>
      <c r="W87" s="17"/>
      <c r="X87" s="16"/>
      <c r="Y87" s="9"/>
      <c r="Z87" s="2"/>
    </row>
    <row r="88" spans="1:26" x14ac:dyDescent="0.25">
      <c r="A88" s="7">
        <f>Data!A88</f>
        <v>201605</v>
      </c>
      <c r="B88" s="7">
        <v>71360</v>
      </c>
      <c r="C88" s="7">
        <f>Data!F88</f>
        <v>714502</v>
      </c>
      <c r="D88" s="7">
        <f>IF(Data!D88="Malawi", 1, 0)</f>
        <v>1</v>
      </c>
      <c r="E88" s="7">
        <f t="shared" si="5"/>
        <v>0</v>
      </c>
      <c r="F88" s="7">
        <f t="shared" si="6"/>
        <v>0</v>
      </c>
      <c r="G88" s="10">
        <f>Data!L88</f>
        <v>0.99395559834011904</v>
      </c>
      <c r="H88" s="10">
        <f t="shared" si="7"/>
        <v>0</v>
      </c>
      <c r="I88" s="10">
        <f>Data!H88</f>
        <v>1.2469493891797556</v>
      </c>
      <c r="J88" s="10">
        <f>Data!I88</f>
        <v>1.2427999999999999</v>
      </c>
      <c r="K88" s="10">
        <f t="shared" si="8"/>
        <v>1.24692430860491</v>
      </c>
      <c r="L88" s="10">
        <f>Data!J88</f>
        <v>8.1941090524196625E-2</v>
      </c>
      <c r="M88" s="21">
        <f>Data!K88</f>
        <v>797.4</v>
      </c>
      <c r="N88" s="21">
        <f>Data!M88</f>
        <v>88.332420349121094</v>
      </c>
      <c r="O88" s="21">
        <f>Data!N88</f>
        <v>88.332420349121094</v>
      </c>
      <c r="P88" s="10">
        <f>Data!O88</f>
        <v>1.34E-2</v>
      </c>
      <c r="Q88" s="10">
        <f t="shared" si="9"/>
        <v>0</v>
      </c>
      <c r="R88" s="10">
        <f>Data!Q88</f>
        <v>-0.12</v>
      </c>
      <c r="S88" s="10">
        <f>Data!P88</f>
        <v>-0.96</v>
      </c>
      <c r="W88" s="17"/>
      <c r="X88" s="16"/>
      <c r="Y88" s="9"/>
      <c r="Z88" s="2"/>
    </row>
    <row r="89" spans="1:26" x14ac:dyDescent="0.25">
      <c r="A89" s="7">
        <f>Data!A89</f>
        <v>201604</v>
      </c>
      <c r="B89" s="7">
        <v>71360</v>
      </c>
      <c r="C89" s="7">
        <f>Data!F89</f>
        <v>591218</v>
      </c>
      <c r="D89" s="7">
        <f>IF(Data!D89="Malawi", 1, 0)</f>
        <v>1</v>
      </c>
      <c r="E89" s="7">
        <f t="shared" si="5"/>
        <v>0</v>
      </c>
      <c r="F89" s="7">
        <f t="shared" si="6"/>
        <v>0</v>
      </c>
      <c r="G89" s="10">
        <f>Data!L89</f>
        <v>0.67712172472953702</v>
      </c>
      <c r="H89" s="10">
        <f t="shared" si="7"/>
        <v>0</v>
      </c>
      <c r="I89" s="10">
        <f>Data!H89</f>
        <v>1.182436</v>
      </c>
      <c r="J89" s="10">
        <f>Data!I89</f>
        <v>1.4457</v>
      </c>
      <c r="K89" s="10">
        <f t="shared" si="8"/>
        <v>1.2674382262608033</v>
      </c>
      <c r="L89" s="10">
        <f>Data!J89</f>
        <v>0.13477715849876404</v>
      </c>
      <c r="M89" s="21">
        <f>Data!K89</f>
        <v>797.4</v>
      </c>
      <c r="N89" s="21">
        <f>Data!M89</f>
        <v>85.221450805664063</v>
      </c>
      <c r="O89" s="21">
        <f>Data!N89</f>
        <v>85.221450805664063</v>
      </c>
      <c r="P89" s="10">
        <f>Data!O89</f>
        <v>1.0800000000000001E-2</v>
      </c>
      <c r="Q89" s="10">
        <f t="shared" si="9"/>
        <v>0</v>
      </c>
      <c r="R89" s="10">
        <f>Data!Q89</f>
        <v>-0.12</v>
      </c>
      <c r="S89" s="10">
        <f>Data!P89</f>
        <v>-0.96</v>
      </c>
      <c r="W89" s="17"/>
      <c r="X89" s="16"/>
      <c r="Y89" s="9"/>
      <c r="Z89" s="2"/>
    </row>
    <row r="90" spans="1:26" x14ac:dyDescent="0.25">
      <c r="A90" s="7">
        <f>Data!A90</f>
        <v>201603</v>
      </c>
      <c r="B90" s="7">
        <v>71360</v>
      </c>
      <c r="C90" s="7">
        <f>Data!F90</f>
        <v>663058</v>
      </c>
      <c r="D90" s="7">
        <f>IF(Data!D90="Malawi", 1, 0)</f>
        <v>1</v>
      </c>
      <c r="E90" s="7">
        <f t="shared" si="5"/>
        <v>0</v>
      </c>
      <c r="F90" s="7">
        <f t="shared" si="6"/>
        <v>0</v>
      </c>
      <c r="G90" s="10">
        <f>Data!L90</f>
        <v>0.80687057735483902</v>
      </c>
      <c r="H90" s="10">
        <f t="shared" si="7"/>
        <v>0</v>
      </c>
      <c r="I90" s="10">
        <f>Data!H90</f>
        <v>1.1551533101045297</v>
      </c>
      <c r="J90" s="10">
        <f>Data!I90</f>
        <v>1.2677</v>
      </c>
      <c r="K90" s="10">
        <f t="shared" si="8"/>
        <v>1.1768893873446657</v>
      </c>
      <c r="L90" s="10">
        <f>Data!J90</f>
        <v>0.15390883386135101</v>
      </c>
      <c r="M90" s="21">
        <f>Data!K90</f>
        <v>797.4</v>
      </c>
      <c r="N90" s="21">
        <f>Data!M90</f>
        <v>109.72029113769531</v>
      </c>
      <c r="O90" s="21">
        <f>Data!N90</f>
        <v>109.72029113769531</v>
      </c>
      <c r="P90" s="10">
        <f>Data!O90</f>
        <v>1.3299999999999999E-2</v>
      </c>
      <c r="Q90" s="10">
        <f t="shared" si="9"/>
        <v>0</v>
      </c>
      <c r="R90" s="10">
        <f>Data!Q90</f>
        <v>-0.12</v>
      </c>
      <c r="S90" s="10">
        <f>Data!P90</f>
        <v>-0.96</v>
      </c>
      <c r="W90" s="17"/>
      <c r="X90" s="16"/>
      <c r="Y90" s="9"/>
      <c r="Z90" s="2"/>
    </row>
    <row r="91" spans="1:26" x14ac:dyDescent="0.25">
      <c r="A91" s="7">
        <f>Data!A91</f>
        <v>201602</v>
      </c>
      <c r="B91" s="7">
        <v>71360</v>
      </c>
      <c r="C91" s="7">
        <f>Data!F91</f>
        <v>744134</v>
      </c>
      <c r="D91" s="7">
        <f>IF(Data!D91="Malawi", 1, 0)</f>
        <v>1</v>
      </c>
      <c r="E91" s="7">
        <f t="shared" si="5"/>
        <v>0</v>
      </c>
      <c r="F91" s="7">
        <f t="shared" si="6"/>
        <v>0</v>
      </c>
      <c r="G91" s="10">
        <f>Data!L91</f>
        <v>0.77879342247377203</v>
      </c>
      <c r="H91" s="10">
        <f t="shared" si="7"/>
        <v>0</v>
      </c>
      <c r="I91" s="10">
        <f>Data!H91</f>
        <v>1.1554875776397515</v>
      </c>
      <c r="J91" s="10">
        <f>Data!I91</f>
        <v>1.2935000000000001</v>
      </c>
      <c r="K91" s="10">
        <f t="shared" si="8"/>
        <v>1.1860168332461662</v>
      </c>
      <c r="L91" s="10">
        <f>Data!J91</f>
        <v>8.3178393542766571E-2</v>
      </c>
      <c r="M91" s="21">
        <f>Data!K91</f>
        <v>797.4</v>
      </c>
      <c r="N91" s="21">
        <f>Data!M91</f>
        <v>103.74964904785156</v>
      </c>
      <c r="O91" s="21">
        <f>Data!N91</f>
        <v>103.74964904785156</v>
      </c>
      <c r="P91" s="10">
        <f>Data!O91</f>
        <v>3.1300000000000001E-2</v>
      </c>
      <c r="Q91" s="10">
        <f t="shared" si="9"/>
        <v>0</v>
      </c>
      <c r="R91" s="10">
        <f>Data!Q91</f>
        <v>-0.12</v>
      </c>
      <c r="S91" s="10">
        <f>Data!P91</f>
        <v>-0.96</v>
      </c>
      <c r="W91" s="17"/>
      <c r="X91" s="16"/>
      <c r="Y91" s="9"/>
      <c r="Z91" s="2"/>
    </row>
    <row r="92" spans="1:26" x14ac:dyDescent="0.25">
      <c r="A92" s="7">
        <f>Data!A92</f>
        <v>201601</v>
      </c>
      <c r="B92" s="7">
        <v>71360</v>
      </c>
      <c r="C92" s="7">
        <f>Data!F92</f>
        <v>3581000</v>
      </c>
      <c r="D92" s="7">
        <f>IF(Data!D92="Malawi", 1, 0)</f>
        <v>1</v>
      </c>
      <c r="E92" s="7">
        <f t="shared" si="5"/>
        <v>0</v>
      </c>
      <c r="F92" s="7">
        <f t="shared" si="6"/>
        <v>0</v>
      </c>
      <c r="G92" s="10">
        <f>Data!L92</f>
        <v>0.94215370918101204</v>
      </c>
      <c r="H92" s="10">
        <f t="shared" si="7"/>
        <v>0</v>
      </c>
      <c r="I92" s="10">
        <f>Data!H92</f>
        <v>1.0115819209039547</v>
      </c>
      <c r="J92" s="10">
        <f>Data!I92</f>
        <v>1.0373000000000001</v>
      </c>
      <c r="K92" s="10">
        <f t="shared" si="8"/>
        <v>1.0130696163866504</v>
      </c>
      <c r="L92" s="10">
        <f>Data!J92</f>
        <v>0.22246940433979034</v>
      </c>
      <c r="M92" s="21">
        <f>Data!K92</f>
        <v>797.4</v>
      </c>
      <c r="N92" s="21">
        <f>Data!M92</f>
        <v>118.21114349365234</v>
      </c>
      <c r="O92" s="21">
        <f>Data!N92</f>
        <v>118.21114349365234</v>
      </c>
      <c r="P92" s="10">
        <f>Data!O92</f>
        <v>0.17680000000000001</v>
      </c>
      <c r="Q92" s="10">
        <f t="shared" si="9"/>
        <v>0</v>
      </c>
      <c r="R92" s="10">
        <f>Data!Q92</f>
        <v>-0.12</v>
      </c>
      <c r="S92" s="10">
        <f>Data!P92</f>
        <v>-0.96</v>
      </c>
      <c r="W92" s="17"/>
      <c r="X92" s="16"/>
      <c r="Y92" s="9"/>
      <c r="Z92" s="2"/>
    </row>
    <row r="93" spans="1:26" x14ac:dyDescent="0.25">
      <c r="A93" s="7">
        <f>Data!A93</f>
        <v>201512</v>
      </c>
      <c r="B93" s="7">
        <v>71360</v>
      </c>
      <c r="C93" s="7">
        <f>Data!F93</f>
        <v>12063460</v>
      </c>
      <c r="D93" s="7">
        <f>IF(Data!D93="Malawi", 1, 0)</f>
        <v>1</v>
      </c>
      <c r="E93" s="7">
        <f t="shared" si="5"/>
        <v>0</v>
      </c>
      <c r="F93" s="7">
        <f t="shared" si="6"/>
        <v>0</v>
      </c>
      <c r="G93" s="10">
        <f>Data!L93</f>
        <v>0.97449328967843096</v>
      </c>
      <c r="H93" s="10">
        <f t="shared" si="7"/>
        <v>0</v>
      </c>
      <c r="I93" s="10">
        <f>Data!H93</f>
        <v>1.0792145285382</v>
      </c>
      <c r="J93" s="10">
        <f>Data!I93</f>
        <v>1.8245</v>
      </c>
      <c r="K93" s="10">
        <f t="shared" si="8"/>
        <v>1.0982243091656503</v>
      </c>
      <c r="L93" s="10">
        <f>Data!J93</f>
        <v>0.26559117436408997</v>
      </c>
      <c r="M93" s="21">
        <f>Data!K93</f>
        <v>757.9</v>
      </c>
      <c r="N93" s="21">
        <f>Data!M93</f>
        <v>148.23687744140625</v>
      </c>
      <c r="O93" s="21">
        <f>Data!N93</f>
        <v>148.23687744140625</v>
      </c>
      <c r="P93" s="10">
        <f>Data!O93</f>
        <v>0.29680000000000001</v>
      </c>
      <c r="Q93" s="10">
        <f t="shared" si="9"/>
        <v>0</v>
      </c>
      <c r="R93" s="10">
        <f>Data!Q93</f>
        <v>0.03</v>
      </c>
      <c r="S93" s="10">
        <f>Data!P93</f>
        <v>-0.95</v>
      </c>
      <c r="W93" s="17"/>
      <c r="X93" s="16"/>
      <c r="Y93" s="9"/>
      <c r="Z93" s="2"/>
    </row>
    <row r="94" spans="1:26" x14ac:dyDescent="0.25">
      <c r="A94" s="7">
        <f>Data!A94</f>
        <v>201511</v>
      </c>
      <c r="B94" s="7">
        <v>71360</v>
      </c>
      <c r="C94" s="7">
        <f>Data!F94</f>
        <v>7826759</v>
      </c>
      <c r="D94" s="7">
        <f>IF(Data!D94="Malawi", 1, 0)</f>
        <v>1</v>
      </c>
      <c r="E94" s="7">
        <f t="shared" si="5"/>
        <v>0</v>
      </c>
      <c r="F94" s="7">
        <f t="shared" si="6"/>
        <v>0</v>
      </c>
      <c r="G94" s="10">
        <f>Data!L94</f>
        <v>0.97649648920799004</v>
      </c>
      <c r="H94" s="10">
        <f t="shared" si="7"/>
        <v>0</v>
      </c>
      <c r="I94" s="10">
        <f>Data!H94</f>
        <v>1.0185787350338364</v>
      </c>
      <c r="J94" s="10">
        <f>Data!I94</f>
        <v>1.0269999999999999</v>
      </c>
      <c r="K94" s="10">
        <f t="shared" si="8"/>
        <v>1.0187766643258509</v>
      </c>
      <c r="L94" s="10">
        <f>Data!J94</f>
        <v>0.21461187303066254</v>
      </c>
      <c r="M94" s="21">
        <f>Data!K94</f>
        <v>757.9</v>
      </c>
      <c r="N94" s="21">
        <f>Data!M94</f>
        <v>150.71588134765625</v>
      </c>
      <c r="O94" s="21">
        <f>Data!N94</f>
        <v>150.71588134765625</v>
      </c>
      <c r="P94" s="10">
        <f>Data!O94</f>
        <v>0.1235</v>
      </c>
      <c r="Q94" s="10">
        <f t="shared" si="9"/>
        <v>0</v>
      </c>
      <c r="R94" s="10">
        <f>Data!Q94</f>
        <v>0.03</v>
      </c>
      <c r="S94" s="10">
        <f>Data!P94</f>
        <v>-0.95</v>
      </c>
      <c r="W94" s="17"/>
      <c r="X94" s="16"/>
      <c r="Y94" s="9"/>
      <c r="Z94" s="2"/>
    </row>
    <row r="95" spans="1:26" x14ac:dyDescent="0.25">
      <c r="A95" s="7">
        <f>Data!A95</f>
        <v>201510</v>
      </c>
      <c r="B95" s="7">
        <v>71360</v>
      </c>
      <c r="C95" s="7">
        <f>Data!F95</f>
        <v>22766151</v>
      </c>
      <c r="D95" s="7">
        <f>IF(Data!D95="Malawi", 1, 0)</f>
        <v>1</v>
      </c>
      <c r="E95" s="7">
        <f t="shared" si="5"/>
        <v>0</v>
      </c>
      <c r="F95" s="7">
        <f t="shared" si="6"/>
        <v>0</v>
      </c>
      <c r="G95" s="10">
        <f>Data!L95</f>
        <v>0.99707492758597505</v>
      </c>
      <c r="H95" s="10">
        <f t="shared" si="7"/>
        <v>0</v>
      </c>
      <c r="I95" s="10">
        <f>Data!H95</f>
        <v>1.0073518141592921</v>
      </c>
      <c r="J95" s="10">
        <f>Data!I95</f>
        <v>1.0076000000000001</v>
      </c>
      <c r="K95" s="10">
        <f t="shared" si="8"/>
        <v>1.0073525401208483</v>
      </c>
      <c r="L95" s="10">
        <f>Data!J95</f>
        <v>8.5154697299003601E-2</v>
      </c>
      <c r="M95" s="21">
        <f>Data!K95</f>
        <v>757.9</v>
      </c>
      <c r="N95" s="21">
        <f>Data!M95</f>
        <v>91.931884765625</v>
      </c>
      <c r="O95" s="21">
        <f>Data!N95</f>
        <v>91.931884765625</v>
      </c>
      <c r="P95" s="10">
        <f>Data!O95</f>
        <v>0.2555</v>
      </c>
      <c r="Q95" s="10">
        <f t="shared" si="9"/>
        <v>0</v>
      </c>
      <c r="R95" s="10">
        <f>Data!Q95</f>
        <v>0.03</v>
      </c>
      <c r="S95" s="10">
        <f>Data!P95</f>
        <v>-0.95</v>
      </c>
      <c r="W95" s="17"/>
      <c r="X95" s="16"/>
      <c r="Y95" s="9"/>
      <c r="Z95" s="2"/>
    </row>
    <row r="96" spans="1:26" x14ac:dyDescent="0.25">
      <c r="A96" s="7">
        <f>Data!A96</f>
        <v>201509</v>
      </c>
      <c r="B96" s="7">
        <v>71360</v>
      </c>
      <c r="C96" s="7">
        <f>Data!F96</f>
        <v>7711764</v>
      </c>
      <c r="D96" s="7">
        <f>IF(Data!D96="Malawi", 1, 0)</f>
        <v>1</v>
      </c>
      <c r="E96" s="7">
        <f t="shared" si="5"/>
        <v>0</v>
      </c>
      <c r="F96" s="7">
        <f t="shared" si="6"/>
        <v>0</v>
      </c>
      <c r="G96" s="10">
        <f>Data!L96</f>
        <v>0.99089090011290404</v>
      </c>
      <c r="H96" s="10">
        <f t="shared" si="7"/>
        <v>0</v>
      </c>
      <c r="I96" s="10">
        <f>Data!H96</f>
        <v>0.95513549665593267</v>
      </c>
      <c r="J96" s="10">
        <f>Data!I96</f>
        <v>0.95699999999999996</v>
      </c>
      <c r="K96" s="10">
        <f t="shared" si="8"/>
        <v>0.95515248060313362</v>
      </c>
      <c r="L96" s="10">
        <f>Data!J96</f>
        <v>6.5251432359218597E-2</v>
      </c>
      <c r="M96" s="21">
        <f>Data!K96</f>
        <v>757.9</v>
      </c>
      <c r="N96" s="21">
        <f>Data!M96</f>
        <v>98.7674560546875</v>
      </c>
      <c r="O96" s="21">
        <f>Data!N96</f>
        <v>98.7674560546875</v>
      </c>
      <c r="P96" s="10">
        <f>Data!O96</f>
        <v>0.1358</v>
      </c>
      <c r="Q96" s="10">
        <f t="shared" si="9"/>
        <v>0</v>
      </c>
      <c r="R96" s="10">
        <f>Data!Q96</f>
        <v>0.03</v>
      </c>
      <c r="S96" s="10">
        <f>Data!P96</f>
        <v>-0.95</v>
      </c>
      <c r="W96" s="17"/>
      <c r="X96" s="16"/>
      <c r="Y96" s="9"/>
      <c r="Z96" s="2"/>
    </row>
    <row r="97" spans="1:26" x14ac:dyDescent="0.25">
      <c r="A97" s="7">
        <f>Data!A97</f>
        <v>201508</v>
      </c>
      <c r="B97" s="7">
        <v>71360</v>
      </c>
      <c r="C97" s="7">
        <f>Data!F97</f>
        <v>434898</v>
      </c>
      <c r="D97" s="7">
        <f>IF(Data!D97="Malawi", 1, 0)</f>
        <v>1</v>
      </c>
      <c r="E97" s="7">
        <f t="shared" si="5"/>
        <v>0</v>
      </c>
      <c r="F97" s="7">
        <f t="shared" si="6"/>
        <v>0</v>
      </c>
      <c r="G97" s="10">
        <f>Data!L97</f>
        <v>0.88258644272801401</v>
      </c>
      <c r="H97" s="10">
        <f t="shared" si="7"/>
        <v>0</v>
      </c>
      <c r="I97" s="10">
        <f>Data!H97</f>
        <v>0.65104491017964072</v>
      </c>
      <c r="J97" s="10">
        <f>Data!I97</f>
        <v>0.67259999999999998</v>
      </c>
      <c r="K97" s="10">
        <f t="shared" si="8"/>
        <v>0.65357576995276623</v>
      </c>
      <c r="L97" s="10">
        <f>Data!J97</f>
        <v>9.8953917622566223E-2</v>
      </c>
      <c r="M97" s="21">
        <f>Data!K97</f>
        <v>757.9</v>
      </c>
      <c r="N97" s="21">
        <f>Data!M97</f>
        <v>82.478530883789063</v>
      </c>
      <c r="O97" s="21">
        <f>Data!N97</f>
        <v>82.478530883789063</v>
      </c>
      <c r="P97" s="10">
        <f>Data!O97</f>
        <v>2.81E-2</v>
      </c>
      <c r="Q97" s="10">
        <f t="shared" si="9"/>
        <v>0</v>
      </c>
      <c r="R97" s="10">
        <f>Data!Q97</f>
        <v>0.03</v>
      </c>
      <c r="S97" s="10">
        <f>Data!P97</f>
        <v>-0.95</v>
      </c>
      <c r="W97" s="17"/>
      <c r="X97" s="16"/>
      <c r="Y97" s="9"/>
      <c r="Z97" s="2"/>
    </row>
    <row r="98" spans="1:26" x14ac:dyDescent="0.25">
      <c r="A98" s="7">
        <f>Data!A98</f>
        <v>201507</v>
      </c>
      <c r="B98" s="7">
        <v>71360</v>
      </c>
      <c r="C98" s="7">
        <f>Data!F98</f>
        <v>947365</v>
      </c>
      <c r="D98" s="7">
        <f>IF(Data!D98="Malawi", 1, 0)</f>
        <v>1</v>
      </c>
      <c r="E98" s="7">
        <f t="shared" si="5"/>
        <v>0</v>
      </c>
      <c r="F98" s="7">
        <f t="shared" si="6"/>
        <v>0</v>
      </c>
      <c r="G98" s="10">
        <f>Data!L98</f>
        <v>0.90098242477270096</v>
      </c>
      <c r="H98" s="10">
        <f t="shared" si="7"/>
        <v>0</v>
      </c>
      <c r="I98" s="10">
        <f>Data!H98</f>
        <v>0.92245861733203505</v>
      </c>
      <c r="J98" s="10">
        <f>Data!I98</f>
        <v>0.96889999999999998</v>
      </c>
      <c r="K98" s="10">
        <f t="shared" si="8"/>
        <v>0.92705713043402005</v>
      </c>
      <c r="L98" s="10">
        <f>Data!J98</f>
        <v>0.18615524470806122</v>
      </c>
      <c r="M98" s="21">
        <f>Data!K98</f>
        <v>757.9</v>
      </c>
      <c r="N98" s="21">
        <f>Data!M98</f>
        <v>106.80866241455078</v>
      </c>
      <c r="O98" s="21">
        <f>Data!N98</f>
        <v>106.80866241455078</v>
      </c>
      <c r="P98" s="10">
        <f>Data!O98</f>
        <v>3.2099999999999997E-2</v>
      </c>
      <c r="Q98" s="10">
        <f t="shared" si="9"/>
        <v>0</v>
      </c>
      <c r="R98" s="10">
        <f>Data!Q98</f>
        <v>0.03</v>
      </c>
      <c r="S98" s="10">
        <f>Data!P98</f>
        <v>-0.95</v>
      </c>
      <c r="W98" s="17"/>
      <c r="X98" s="16"/>
      <c r="Y98" s="9"/>
      <c r="Z98" s="2"/>
    </row>
    <row r="99" spans="1:26" x14ac:dyDescent="0.25">
      <c r="A99" s="7">
        <f>Data!A99</f>
        <v>201506</v>
      </c>
      <c r="B99" s="7">
        <v>71360</v>
      </c>
      <c r="C99" s="7">
        <f>Data!F99</f>
        <v>43608</v>
      </c>
      <c r="D99" s="7">
        <f>IF(Data!D99="Malawi", 1, 0)</f>
        <v>1</v>
      </c>
      <c r="E99" s="7">
        <f t="shared" si="5"/>
        <v>0</v>
      </c>
      <c r="F99" s="7">
        <f t="shared" si="6"/>
        <v>0</v>
      </c>
      <c r="G99" s="10">
        <f>Data!L99</f>
        <v>0.13864231757255099</v>
      </c>
      <c r="H99" s="10">
        <f t="shared" si="7"/>
        <v>0</v>
      </c>
      <c r="I99" s="10">
        <f>Data!H99</f>
        <v>1.014139534883721</v>
      </c>
      <c r="J99" s="10">
        <f>Data!I99</f>
        <v>1.2239</v>
      </c>
      <c r="K99" s="10">
        <f t="shared" si="8"/>
        <v>1.1948183229811828</v>
      </c>
      <c r="L99" s="10">
        <f>Data!J99</f>
        <v>0.10393209755420685</v>
      </c>
      <c r="M99" s="21">
        <f>Data!K99</f>
        <v>757.9</v>
      </c>
      <c r="N99" s="21">
        <f>Data!M99</f>
        <v>85.905967712402344</v>
      </c>
      <c r="O99" s="21">
        <f>Data!N99</f>
        <v>85.905967712402344</v>
      </c>
      <c r="P99" s="10">
        <f>Data!O99</f>
        <v>1.1999999999999999E-3</v>
      </c>
      <c r="Q99" s="10">
        <f t="shared" si="9"/>
        <v>0</v>
      </c>
      <c r="R99" s="10">
        <f>Data!Q99</f>
        <v>0.03</v>
      </c>
      <c r="S99" s="10">
        <f>Data!P99</f>
        <v>-0.95</v>
      </c>
      <c r="W99" s="17"/>
      <c r="X99" s="16"/>
      <c r="Y99" s="9"/>
      <c r="Z99" s="2"/>
    </row>
    <row r="100" spans="1:26" x14ac:dyDescent="0.25">
      <c r="A100" s="7">
        <f>Data!A100</f>
        <v>201505</v>
      </c>
      <c r="B100" s="7">
        <v>71360</v>
      </c>
      <c r="C100" s="7">
        <f>Data!F100</f>
        <v>295889</v>
      </c>
      <c r="D100" s="7">
        <f>IF(Data!D100="Malawi", 1, 0)</f>
        <v>1</v>
      </c>
      <c r="E100" s="7">
        <f t="shared" si="5"/>
        <v>0</v>
      </c>
      <c r="F100" s="7">
        <f t="shared" si="6"/>
        <v>0</v>
      </c>
      <c r="G100" s="10">
        <f>Data!L100</f>
        <v>0.76389598855791496</v>
      </c>
      <c r="H100" s="10">
        <f t="shared" si="7"/>
        <v>0</v>
      </c>
      <c r="I100" s="10">
        <f>Data!H100</f>
        <v>0.69036164255716281</v>
      </c>
      <c r="J100" s="10">
        <f>Data!I100</f>
        <v>0.77380000000000004</v>
      </c>
      <c r="K100" s="10">
        <f t="shared" si="8"/>
        <v>0.71006177345755528</v>
      </c>
      <c r="L100" s="10">
        <f>Data!J100</f>
        <v>0.10688785463571548</v>
      </c>
      <c r="M100" s="21">
        <f>Data!K100</f>
        <v>757.9</v>
      </c>
      <c r="N100" s="21">
        <f>Data!M100</f>
        <v>76.2623291015625</v>
      </c>
      <c r="O100" s="21">
        <f>Data!N100</f>
        <v>76.2623291015625</v>
      </c>
      <c r="P100" s="10">
        <f>Data!O100</f>
        <v>8.0999999999999996E-3</v>
      </c>
      <c r="Q100" s="10">
        <f t="shared" si="9"/>
        <v>0</v>
      </c>
      <c r="R100" s="10">
        <f>Data!Q100</f>
        <v>0.03</v>
      </c>
      <c r="S100" s="10">
        <f>Data!P100</f>
        <v>-0.95</v>
      </c>
      <c r="W100" s="17"/>
      <c r="X100" s="16"/>
    </row>
    <row r="101" spans="1:26" x14ac:dyDescent="0.25">
      <c r="A101" s="7">
        <f>Data!A101</f>
        <v>201504</v>
      </c>
      <c r="B101" s="7">
        <v>71360</v>
      </c>
      <c r="C101" s="7">
        <f>Data!F101</f>
        <v>1210306</v>
      </c>
      <c r="D101" s="7">
        <f>IF(Data!D101="Malawi", 1, 0)</f>
        <v>1</v>
      </c>
      <c r="E101" s="7">
        <f t="shared" si="5"/>
        <v>0</v>
      </c>
      <c r="F101" s="7">
        <f t="shared" si="6"/>
        <v>0</v>
      </c>
      <c r="G101" s="10">
        <f>Data!L101</f>
        <v>0.74334353688017096</v>
      </c>
      <c r="H101" s="10">
        <f t="shared" si="7"/>
        <v>0</v>
      </c>
      <c r="I101" s="10">
        <f>Data!H101</f>
        <v>0.72257074626865669</v>
      </c>
      <c r="J101" s="10">
        <f>Data!I101</f>
        <v>0.81299999999999994</v>
      </c>
      <c r="K101" s="10">
        <f t="shared" si="8"/>
        <v>0.74577999869390887</v>
      </c>
      <c r="L101" s="10">
        <f>Data!J101</f>
        <v>0.18705096840858459</v>
      </c>
      <c r="M101" s="21">
        <f>Data!K101</f>
        <v>757.9</v>
      </c>
      <c r="N101" s="21">
        <f>Data!M101</f>
        <v>102.19049072265625</v>
      </c>
      <c r="O101" s="21">
        <f>Data!N101</f>
        <v>102.19049072265625</v>
      </c>
      <c r="P101" s="10">
        <f>Data!O101</f>
        <v>2.7799999999999998E-2</v>
      </c>
      <c r="Q101" s="10">
        <f t="shared" si="9"/>
        <v>0</v>
      </c>
      <c r="R101" s="10">
        <f>Data!Q101</f>
        <v>0.03</v>
      </c>
      <c r="S101" s="10">
        <f>Data!P101</f>
        <v>-0.95</v>
      </c>
      <c r="W101" s="17"/>
      <c r="X101" s="16"/>
    </row>
    <row r="102" spans="1:26" x14ac:dyDescent="0.25">
      <c r="A102" s="7">
        <f>Data!A102</f>
        <v>201503</v>
      </c>
      <c r="B102" s="7">
        <v>71360</v>
      </c>
      <c r="C102" s="7">
        <f>Data!F102</f>
        <v>960336</v>
      </c>
      <c r="D102" s="7">
        <f>IF(Data!D102="Malawi", 1, 0)</f>
        <v>1</v>
      </c>
      <c r="E102" s="7">
        <f t="shared" si="5"/>
        <v>0</v>
      </c>
      <c r="F102" s="7">
        <f t="shared" si="6"/>
        <v>0</v>
      </c>
      <c r="G102" s="10">
        <f>Data!L102</f>
        <v>0.89914049772484606</v>
      </c>
      <c r="H102" s="10">
        <f t="shared" si="7"/>
        <v>0</v>
      </c>
      <c r="I102" s="10">
        <f>Data!H102</f>
        <v>0.93691317073170732</v>
      </c>
      <c r="J102" s="10">
        <f>Data!I102</f>
        <v>0.94479999999999997</v>
      </c>
      <c r="K102" s="10">
        <f t="shared" si="8"/>
        <v>0.93770863240623648</v>
      </c>
      <c r="L102" s="10">
        <f>Data!J102</f>
        <v>0.13181200623512268</v>
      </c>
      <c r="M102" s="21">
        <f>Data!K102</f>
        <v>757.9</v>
      </c>
      <c r="N102" s="21">
        <f>Data!M102</f>
        <v>104.23526763916016</v>
      </c>
      <c r="O102" s="21">
        <f>Data!N102</f>
        <v>104.23526763916016</v>
      </c>
      <c r="P102" s="10">
        <f>Data!O102</f>
        <v>2.06E-2</v>
      </c>
      <c r="Q102" s="10">
        <f t="shared" si="9"/>
        <v>0</v>
      </c>
      <c r="R102" s="10">
        <f>Data!Q102</f>
        <v>0.03</v>
      </c>
      <c r="S102" s="10">
        <f>Data!P102</f>
        <v>-0.95</v>
      </c>
      <c r="W102" s="17"/>
      <c r="X102" s="16"/>
    </row>
    <row r="103" spans="1:26" x14ac:dyDescent="0.25">
      <c r="A103" s="7">
        <f>Data!A103</f>
        <v>201502</v>
      </c>
      <c r="B103" s="7">
        <v>71360</v>
      </c>
      <c r="C103" s="7">
        <f>Data!F103</f>
        <v>2453117</v>
      </c>
      <c r="D103" s="7">
        <f>IF(Data!D103="Malawi", 1, 0)</f>
        <v>1</v>
      </c>
      <c r="E103" s="7">
        <f t="shared" si="5"/>
        <v>0</v>
      </c>
      <c r="F103" s="7">
        <f t="shared" si="6"/>
        <v>0</v>
      </c>
      <c r="G103" s="10">
        <f>Data!L103</f>
        <v>0.933398550162166</v>
      </c>
      <c r="H103" s="10">
        <f t="shared" si="7"/>
        <v>0</v>
      </c>
      <c r="I103" s="10">
        <f>Data!H103</f>
        <v>0.75202851011649297</v>
      </c>
      <c r="J103" s="10">
        <f>Data!I103</f>
        <v>0.76619999999999999</v>
      </c>
      <c r="K103" s="10">
        <f t="shared" si="8"/>
        <v>0.75297235188909672</v>
      </c>
      <c r="L103" s="10">
        <f>Data!J103</f>
        <v>0.1231527104973793</v>
      </c>
      <c r="M103" s="21">
        <f>Data!K103</f>
        <v>757.9</v>
      </c>
      <c r="N103" s="21">
        <f>Data!M103</f>
        <v>111.92469787597656</v>
      </c>
      <c r="O103" s="21">
        <f>Data!N103</f>
        <v>111.92469787597656</v>
      </c>
      <c r="P103" s="10">
        <f>Data!O103</f>
        <v>0.1012</v>
      </c>
      <c r="Q103" s="10">
        <f t="shared" si="9"/>
        <v>0</v>
      </c>
      <c r="R103" s="10">
        <f>Data!Q103</f>
        <v>0.03</v>
      </c>
      <c r="S103" s="10">
        <f>Data!P103</f>
        <v>-0.95</v>
      </c>
      <c r="W103" s="17"/>
      <c r="X103" s="16"/>
    </row>
    <row r="104" spans="1:26" x14ac:dyDescent="0.25">
      <c r="A104" s="7">
        <f>Data!A104</f>
        <v>201501</v>
      </c>
      <c r="B104" s="7">
        <v>71360</v>
      </c>
      <c r="C104" s="7">
        <f>Data!F104</f>
        <v>3803905</v>
      </c>
      <c r="D104" s="7">
        <f>IF(Data!D104="Malawi", 1, 0)</f>
        <v>1</v>
      </c>
      <c r="E104" s="7">
        <f t="shared" si="5"/>
        <v>0</v>
      </c>
      <c r="F104" s="7">
        <f t="shared" si="6"/>
        <v>0</v>
      </c>
      <c r="G104" s="10">
        <f>Data!L104</f>
        <v>0.95609590454486104</v>
      </c>
      <c r="H104" s="10">
        <f t="shared" si="7"/>
        <v>0</v>
      </c>
      <c r="I104" s="10">
        <f>Data!H104</f>
        <v>0.76108543417366947</v>
      </c>
      <c r="J104" s="10">
        <f>Data!I104</f>
        <v>0.77100000000000002</v>
      </c>
      <c r="K104" s="10">
        <f t="shared" si="8"/>
        <v>0.76152072421810491</v>
      </c>
      <c r="L104" s="10">
        <f>Data!J104</f>
        <v>0.21778281033039093</v>
      </c>
      <c r="M104" s="21">
        <f>Data!K104</f>
        <v>757.9</v>
      </c>
      <c r="N104" s="21">
        <f>Data!M104</f>
        <v>111.98569488525391</v>
      </c>
      <c r="O104" s="21">
        <f>Data!N104</f>
        <v>111.98569488525391</v>
      </c>
      <c r="P104" s="10">
        <f>Data!O104</f>
        <v>0.1144</v>
      </c>
      <c r="Q104" s="10">
        <f t="shared" si="9"/>
        <v>0</v>
      </c>
      <c r="R104" s="10">
        <f>Data!Q104</f>
        <v>0.03</v>
      </c>
      <c r="S104" s="10">
        <f>Data!P104</f>
        <v>-0.95</v>
      </c>
      <c r="W104" s="17"/>
      <c r="X104" s="16"/>
    </row>
    <row r="105" spans="1:26" x14ac:dyDescent="0.25">
      <c r="A105" s="7">
        <f>Data!A105</f>
        <v>201412</v>
      </c>
      <c r="B105" s="7">
        <v>71360</v>
      </c>
      <c r="C105" s="7">
        <f>Data!F105</f>
        <v>6989448</v>
      </c>
      <c r="D105" s="7">
        <f>IF(Data!D105="Malawi", 1, 0)</f>
        <v>1</v>
      </c>
      <c r="E105" s="7">
        <f t="shared" si="5"/>
        <v>0</v>
      </c>
      <c r="F105" s="7">
        <f t="shared" si="6"/>
        <v>0</v>
      </c>
      <c r="G105" s="10">
        <f>Data!L105</f>
        <v>0.98782937666294202</v>
      </c>
      <c r="H105" s="10">
        <f t="shared" si="7"/>
        <v>0</v>
      </c>
      <c r="I105" s="10">
        <f>Data!H105</f>
        <v>0.72392004142931121</v>
      </c>
      <c r="J105" s="10">
        <f>Data!I105</f>
        <v>0.71860000000000002</v>
      </c>
      <c r="K105" s="10">
        <f t="shared" si="8"/>
        <v>0.72385529320893749</v>
      </c>
      <c r="L105" s="10">
        <f>Data!J105</f>
        <v>0.20030480623245239</v>
      </c>
      <c r="M105" s="21">
        <f>Data!K105</f>
        <v>715.2</v>
      </c>
      <c r="N105" s="21">
        <f>Data!M105</f>
        <v>86.526222229003906</v>
      </c>
      <c r="O105" s="21">
        <f>Data!N105</f>
        <v>86.526222229003906</v>
      </c>
      <c r="P105" s="10">
        <f>Data!O105</f>
        <v>0.1019</v>
      </c>
      <c r="Q105" s="10">
        <f t="shared" si="9"/>
        <v>0</v>
      </c>
      <c r="R105" s="10">
        <f>Data!Q105</f>
        <v>0.08</v>
      </c>
      <c r="S105" s="10">
        <f>Data!P105</f>
        <v>-1</v>
      </c>
      <c r="W105" s="17"/>
      <c r="X105" s="16"/>
    </row>
    <row r="106" spans="1:26" x14ac:dyDescent="0.25">
      <c r="A106" s="7">
        <f>Data!A106</f>
        <v>201411</v>
      </c>
      <c r="B106" s="7">
        <v>71360</v>
      </c>
      <c r="C106" s="7">
        <f>Data!F106</f>
        <v>14631294</v>
      </c>
      <c r="D106" s="7">
        <f>IF(Data!D106="Malawi", 1, 0)</f>
        <v>1</v>
      </c>
      <c r="E106" s="7">
        <f t="shared" si="5"/>
        <v>0</v>
      </c>
      <c r="F106" s="7">
        <f t="shared" si="6"/>
        <v>0</v>
      </c>
      <c r="G106" s="10">
        <f>Data!L106</f>
        <v>0.98867950588506204</v>
      </c>
      <c r="H106" s="10">
        <f t="shared" si="7"/>
        <v>0</v>
      </c>
      <c r="I106" s="10">
        <f>Data!H106</f>
        <v>0.71592180848461129</v>
      </c>
      <c r="J106" s="10">
        <f>Data!I106</f>
        <v>0.71530000000000005</v>
      </c>
      <c r="K106" s="10">
        <f t="shared" si="8"/>
        <v>0.71591476930532061</v>
      </c>
      <c r="L106" s="10">
        <f>Data!J106</f>
        <v>0.15289904177188873</v>
      </c>
      <c r="M106" s="21">
        <f>Data!K106</f>
        <v>715.2</v>
      </c>
      <c r="N106" s="21">
        <f>Data!M106</f>
        <v>84.380050659179688</v>
      </c>
      <c r="O106" s="21">
        <f>Data!N106</f>
        <v>84.380050659179688</v>
      </c>
      <c r="P106" s="10">
        <f>Data!O106</f>
        <v>0.19969999999999999</v>
      </c>
      <c r="Q106" s="10">
        <f t="shared" si="9"/>
        <v>0</v>
      </c>
      <c r="R106" s="10">
        <f>Data!Q106</f>
        <v>0.08</v>
      </c>
      <c r="S106" s="10">
        <f>Data!P106</f>
        <v>-1</v>
      </c>
      <c r="W106" s="17"/>
      <c r="X106" s="16"/>
    </row>
    <row r="107" spans="1:26" x14ac:dyDescent="0.25">
      <c r="A107" s="7">
        <f>Data!A107</f>
        <v>201410</v>
      </c>
      <c r="B107" s="7">
        <v>71360</v>
      </c>
      <c r="C107" s="7">
        <f>Data!F107</f>
        <v>3648426</v>
      </c>
      <c r="D107" s="7">
        <f>IF(Data!D107="Malawi", 1, 0)</f>
        <v>1</v>
      </c>
      <c r="E107" s="7">
        <f t="shared" si="5"/>
        <v>0</v>
      </c>
      <c r="F107" s="7">
        <f t="shared" si="6"/>
        <v>0</v>
      </c>
      <c r="G107" s="10">
        <f>Data!L107</f>
        <v>0.94655273730131595</v>
      </c>
      <c r="H107" s="10">
        <f t="shared" si="7"/>
        <v>0</v>
      </c>
      <c r="I107" s="10">
        <f>Data!H107</f>
        <v>0.70175533756491637</v>
      </c>
      <c r="J107" s="10">
        <f>Data!I107</f>
        <v>0.67130000000000001</v>
      </c>
      <c r="K107" s="10">
        <f t="shared" si="8"/>
        <v>0.70012758313750723</v>
      </c>
      <c r="L107" s="10">
        <f>Data!J107</f>
        <v>0.1330697238445282</v>
      </c>
      <c r="M107" s="21">
        <f>Data!K107</f>
        <v>715.2</v>
      </c>
      <c r="N107" s="21">
        <f>Data!M107</f>
        <v>83.661003112792969</v>
      </c>
      <c r="O107" s="21">
        <f>Data!N107</f>
        <v>83.661003112792969</v>
      </c>
      <c r="P107" s="10">
        <f>Data!O107</f>
        <v>6.3799999999999996E-2</v>
      </c>
      <c r="Q107" s="10">
        <f t="shared" si="9"/>
        <v>0</v>
      </c>
      <c r="R107" s="10">
        <f>Data!Q107</f>
        <v>0.08</v>
      </c>
      <c r="S107" s="10">
        <f>Data!P107</f>
        <v>-1</v>
      </c>
      <c r="W107" s="17"/>
      <c r="X107" s="16"/>
    </row>
    <row r="108" spans="1:26" x14ac:dyDescent="0.25">
      <c r="A108" s="7">
        <f>Data!A108</f>
        <v>201409</v>
      </c>
      <c r="B108" s="7">
        <v>71360</v>
      </c>
      <c r="C108" s="7">
        <f>Data!F108</f>
        <v>134304</v>
      </c>
      <c r="D108" s="7">
        <f>IF(Data!D108="Malawi", 1, 0)</f>
        <v>1</v>
      </c>
      <c r="E108" s="7">
        <f t="shared" si="5"/>
        <v>0</v>
      </c>
      <c r="F108" s="7">
        <f t="shared" si="6"/>
        <v>0</v>
      </c>
      <c r="G108" s="10">
        <f>Data!L108</f>
        <v>0.82933395907176599</v>
      </c>
      <c r="H108" s="10">
        <f t="shared" si="7"/>
        <v>0</v>
      </c>
      <c r="I108" s="10">
        <f>Data!H108</f>
        <v>0.61326027397260274</v>
      </c>
      <c r="J108" s="10">
        <f>Data!I108</f>
        <v>0.79269999999999996</v>
      </c>
      <c r="K108" s="10">
        <f t="shared" si="8"/>
        <v>0.64388454159894559</v>
      </c>
      <c r="L108" s="10">
        <f>Data!J108</f>
        <v>0.14049454033374786</v>
      </c>
      <c r="M108" s="21">
        <f>Data!K108</f>
        <v>715.2</v>
      </c>
      <c r="N108" s="21">
        <f>Data!M108</f>
        <v>131.55665588378906</v>
      </c>
      <c r="O108" s="21">
        <f>Data!N108</f>
        <v>131.55665588378906</v>
      </c>
      <c r="P108" s="10">
        <f>Data!O108</f>
        <v>4.7000000000000002E-3</v>
      </c>
      <c r="Q108" s="10">
        <f t="shared" si="9"/>
        <v>0</v>
      </c>
      <c r="R108" s="10">
        <f>Data!Q108</f>
        <v>0.08</v>
      </c>
      <c r="S108" s="10">
        <f>Data!P108</f>
        <v>-1</v>
      </c>
      <c r="W108" s="17"/>
      <c r="X108" s="16"/>
    </row>
    <row r="109" spans="1:26" x14ac:dyDescent="0.25">
      <c r="A109" s="7">
        <f>Data!A109</f>
        <v>201408</v>
      </c>
      <c r="B109" s="7">
        <v>71360</v>
      </c>
      <c r="C109" s="7">
        <f>Data!F109</f>
        <v>171125</v>
      </c>
      <c r="D109" s="7">
        <f>IF(Data!D109="Malawi", 1, 0)</f>
        <v>1</v>
      </c>
      <c r="E109" s="7">
        <f t="shared" si="5"/>
        <v>0</v>
      </c>
      <c r="F109" s="7">
        <f t="shared" si="6"/>
        <v>0</v>
      </c>
      <c r="G109" s="10">
        <f>Data!L109</f>
        <v>0.69205726533748502</v>
      </c>
      <c r="H109" s="10">
        <f t="shared" si="7"/>
        <v>0</v>
      </c>
      <c r="I109" s="10">
        <f>Data!H109</f>
        <v>0.71302083333333333</v>
      </c>
      <c r="J109" s="10">
        <f>Data!I109</f>
        <v>0.74360000000000004</v>
      </c>
      <c r="K109" s="10">
        <f t="shared" si="8"/>
        <v>0.72243746554036758</v>
      </c>
      <c r="L109" s="10">
        <f>Data!J109</f>
        <v>0.16138376295566559</v>
      </c>
      <c r="M109" s="21">
        <f>Data!K109</f>
        <v>715.2</v>
      </c>
      <c r="N109" s="21">
        <f>Data!M109</f>
        <v>136.44558715820313</v>
      </c>
      <c r="O109" s="21">
        <f>Data!N109</f>
        <v>136.44558715820313</v>
      </c>
      <c r="P109" s="10">
        <f>Data!O109</f>
        <v>1.46E-2</v>
      </c>
      <c r="Q109" s="10">
        <f t="shared" si="9"/>
        <v>0</v>
      </c>
      <c r="R109" s="10">
        <f>Data!Q109</f>
        <v>0.08</v>
      </c>
      <c r="S109" s="10">
        <f>Data!P109</f>
        <v>-1</v>
      </c>
      <c r="W109" s="17"/>
      <c r="X109" s="16"/>
    </row>
    <row r="110" spans="1:26" x14ac:dyDescent="0.25">
      <c r="A110" s="7">
        <f>Data!A110</f>
        <v>201407</v>
      </c>
      <c r="B110" s="7">
        <v>71360</v>
      </c>
      <c r="C110" s="7">
        <f>Data!F110</f>
        <v>149886</v>
      </c>
      <c r="D110" s="7">
        <f>IF(Data!D110="Malawi", 1, 0)</f>
        <v>1</v>
      </c>
      <c r="E110" s="7">
        <f t="shared" si="5"/>
        <v>0</v>
      </c>
      <c r="F110" s="7">
        <f t="shared" si="6"/>
        <v>0</v>
      </c>
      <c r="G110" s="10">
        <f>Data!L110</f>
        <v>0.57442111798385798</v>
      </c>
      <c r="H110" s="10">
        <f t="shared" si="7"/>
        <v>0</v>
      </c>
      <c r="I110" s="10">
        <f>Data!H110</f>
        <v>0.624525</v>
      </c>
      <c r="J110" s="10">
        <f>Data!I110</f>
        <v>0.67349999999999999</v>
      </c>
      <c r="K110" s="10">
        <f t="shared" si="8"/>
        <v>0.64536772574674051</v>
      </c>
      <c r="L110" s="10">
        <f>Data!J110</f>
        <v>0.14513218402862549</v>
      </c>
      <c r="M110" s="21">
        <f>Data!K110</f>
        <v>715.2</v>
      </c>
      <c r="N110" s="21">
        <f>Data!M110</f>
        <v>138.75395202636719</v>
      </c>
      <c r="O110" s="21">
        <f>Data!N110</f>
        <v>138.75395202636719</v>
      </c>
      <c r="P110" s="10">
        <f>Data!O110</f>
        <v>6.0000000000000001E-3</v>
      </c>
      <c r="Q110" s="10">
        <f t="shared" si="9"/>
        <v>0</v>
      </c>
      <c r="R110" s="10">
        <f>Data!Q110</f>
        <v>0.08</v>
      </c>
      <c r="S110" s="10">
        <f>Data!P110</f>
        <v>-1</v>
      </c>
      <c r="W110" s="17"/>
      <c r="X110" s="16"/>
    </row>
    <row r="111" spans="1:26" x14ac:dyDescent="0.25">
      <c r="A111" s="7">
        <f>Data!A111</f>
        <v>201406</v>
      </c>
      <c r="B111" s="7">
        <v>71360</v>
      </c>
      <c r="C111" s="7">
        <f>Data!F111</f>
        <v>265899</v>
      </c>
      <c r="D111" s="7">
        <f>IF(Data!D111="Malawi", 1, 0)</f>
        <v>1</v>
      </c>
      <c r="E111" s="7">
        <f t="shared" si="5"/>
        <v>0</v>
      </c>
      <c r="F111" s="7">
        <f t="shared" si="6"/>
        <v>0</v>
      </c>
      <c r="G111" s="10">
        <f>Data!L111</f>
        <v>0.43528132965113497</v>
      </c>
      <c r="H111" s="10">
        <f t="shared" si="7"/>
        <v>0</v>
      </c>
      <c r="I111" s="10">
        <f>Data!H111</f>
        <v>0.64845506645531037</v>
      </c>
      <c r="J111" s="10">
        <f>Data!I111</f>
        <v>0.6099</v>
      </c>
      <c r="K111" s="10">
        <f t="shared" si="8"/>
        <v>0.62668230059145547</v>
      </c>
      <c r="L111" s="10">
        <f>Data!J111</f>
        <v>0.11897207796573639</v>
      </c>
      <c r="M111" s="21">
        <f>Data!K111</f>
        <v>715.2</v>
      </c>
      <c r="N111" s="21">
        <f>Data!M111</f>
        <v>98.767105102539063</v>
      </c>
      <c r="O111" s="21">
        <f>Data!N111</f>
        <v>98.767105102539063</v>
      </c>
      <c r="P111" s="10">
        <f>Data!O111</f>
        <v>9.1000000000000004E-3</v>
      </c>
      <c r="Q111" s="10">
        <f t="shared" si="9"/>
        <v>0</v>
      </c>
      <c r="R111" s="10">
        <f>Data!Q111</f>
        <v>0.08</v>
      </c>
      <c r="S111" s="10">
        <f>Data!P111</f>
        <v>-1</v>
      </c>
      <c r="W111" s="17"/>
      <c r="X111" s="16"/>
    </row>
    <row r="112" spans="1:26" x14ac:dyDescent="0.25">
      <c r="A112" s="7">
        <f>Data!A112</f>
        <v>201405</v>
      </c>
      <c r="B112" s="7">
        <v>71360</v>
      </c>
      <c r="C112" s="7">
        <f>Data!F112</f>
        <v>76954</v>
      </c>
      <c r="D112" s="7">
        <f>IF(Data!D112="Malawi", 1, 0)</f>
        <v>1</v>
      </c>
      <c r="E112" s="7">
        <f t="shared" si="5"/>
        <v>0</v>
      </c>
      <c r="F112" s="7">
        <f t="shared" si="6"/>
        <v>0</v>
      </c>
      <c r="G112" s="10">
        <f>Data!L112</f>
        <v>0.17074442474655899</v>
      </c>
      <c r="H112" s="10">
        <f t="shared" si="7"/>
        <v>0</v>
      </c>
      <c r="I112" s="10">
        <f>Data!H112</f>
        <v>0.64128333333333332</v>
      </c>
      <c r="J112" s="10">
        <f>Data!I112</f>
        <v>0.86960000000000004</v>
      </c>
      <c r="K112" s="10">
        <f t="shared" si="8"/>
        <v>0.83061620208994813</v>
      </c>
      <c r="L112" s="10">
        <f>Data!J112</f>
        <v>0.10159924626350403</v>
      </c>
      <c r="M112" s="21">
        <f>Data!K112</f>
        <v>715.2</v>
      </c>
      <c r="N112" s="21">
        <f>Data!M112</f>
        <v>83.428855895996094</v>
      </c>
      <c r="O112" s="21">
        <f>Data!N112</f>
        <v>83.428855895996094</v>
      </c>
      <c r="P112" s="10">
        <f>Data!O112</f>
        <v>4.1999999999999997E-3</v>
      </c>
      <c r="Q112" s="10">
        <f t="shared" si="9"/>
        <v>0</v>
      </c>
      <c r="R112" s="10">
        <f>Data!Q112</f>
        <v>0.08</v>
      </c>
      <c r="S112" s="10">
        <f>Data!P112</f>
        <v>-1</v>
      </c>
      <c r="W112" s="17"/>
      <c r="X112" s="16"/>
    </row>
    <row r="113" spans="1:24" x14ac:dyDescent="0.25">
      <c r="A113" s="7">
        <f>Data!A113</f>
        <v>201404</v>
      </c>
      <c r="B113" s="7">
        <v>71360</v>
      </c>
      <c r="C113" s="7">
        <f>Data!F113</f>
        <v>98240</v>
      </c>
      <c r="D113" s="7">
        <f>IF(Data!D113="Malawi", 1, 0)</f>
        <v>1</v>
      </c>
      <c r="E113" s="7">
        <f t="shared" si="5"/>
        <v>0</v>
      </c>
      <c r="F113" s="7">
        <f t="shared" si="6"/>
        <v>0</v>
      </c>
      <c r="G113" s="10">
        <f>Data!L113</f>
        <v>5.3258014588489097E-2</v>
      </c>
      <c r="H113" s="10">
        <f t="shared" si="7"/>
        <v>0</v>
      </c>
      <c r="I113" s="10">
        <f>Data!H113</f>
        <v>0.71525300327630137</v>
      </c>
      <c r="J113" s="10">
        <f>Data!I113</f>
        <v>0.71630000000000005</v>
      </c>
      <c r="K113" s="10">
        <f t="shared" si="8"/>
        <v>0.71624423903321521</v>
      </c>
      <c r="L113" s="10">
        <f>Data!J113</f>
        <v>0.10253579169511795</v>
      </c>
      <c r="M113" s="21">
        <f>Data!K113</f>
        <v>715.2</v>
      </c>
      <c r="N113" s="21">
        <f>Data!M113</f>
        <v>93.221542358398438</v>
      </c>
      <c r="O113" s="21">
        <f>Data!N113</f>
        <v>93.221542358398438</v>
      </c>
      <c r="P113" s="10">
        <f>Data!O113</f>
        <v>8.2000000000000007E-3</v>
      </c>
      <c r="Q113" s="10">
        <f t="shared" si="9"/>
        <v>0</v>
      </c>
      <c r="R113" s="10">
        <f>Data!Q113</f>
        <v>0.08</v>
      </c>
      <c r="S113" s="10">
        <f>Data!P113</f>
        <v>-1</v>
      </c>
      <c r="W113" s="17"/>
      <c r="X113" s="16"/>
    </row>
    <row r="114" spans="1:24" x14ac:dyDescent="0.25">
      <c r="A114" s="7">
        <f>Data!A114</f>
        <v>201403</v>
      </c>
      <c r="B114" s="7">
        <v>71360</v>
      </c>
      <c r="C114" s="7">
        <f>Data!F114</f>
        <v>12994</v>
      </c>
      <c r="D114" s="7">
        <f>IF(Data!D114="Malawi", 1, 0)</f>
        <v>1</v>
      </c>
      <c r="E114" s="7">
        <f t="shared" si="5"/>
        <v>0</v>
      </c>
      <c r="F114" s="7">
        <f t="shared" si="6"/>
        <v>0</v>
      </c>
      <c r="G114" s="10">
        <f>Data!L114</f>
        <v>8.2342652911206293E-2</v>
      </c>
      <c r="H114" s="10">
        <f t="shared" si="7"/>
        <v>0</v>
      </c>
      <c r="I114" s="10">
        <f>Data!H114</f>
        <v>0.51976</v>
      </c>
      <c r="J114" s="10">
        <f>Data!I114</f>
        <v>0.6149</v>
      </c>
      <c r="K114" s="10">
        <f t="shared" si="8"/>
        <v>0.60706592000202786</v>
      </c>
      <c r="L114" s="10">
        <f>Data!J114</f>
        <v>0.24186046421527863</v>
      </c>
      <c r="M114" s="21">
        <f>Data!K114</f>
        <v>715.2</v>
      </c>
      <c r="N114" s="21">
        <f>Data!M114</f>
        <v>119.83855438232422</v>
      </c>
      <c r="O114" s="21">
        <f>Data!N114</f>
        <v>119.83855438232422</v>
      </c>
      <c r="P114" s="10">
        <f>Data!O114</f>
        <v>1E-3</v>
      </c>
      <c r="Q114" s="10">
        <f t="shared" si="9"/>
        <v>0</v>
      </c>
      <c r="R114" s="10">
        <f>Data!Q114</f>
        <v>0.08</v>
      </c>
      <c r="S114" s="10">
        <f>Data!P114</f>
        <v>-1</v>
      </c>
      <c r="W114" s="17"/>
      <c r="X114" s="16"/>
    </row>
    <row r="115" spans="1:24" x14ac:dyDescent="0.25">
      <c r="A115" s="7">
        <f>Data!A115</f>
        <v>201402</v>
      </c>
      <c r="B115" s="7">
        <v>71360</v>
      </c>
      <c r="C115" s="7">
        <f>Data!F115</f>
        <v>304026</v>
      </c>
      <c r="D115" s="7">
        <f>IF(Data!D115="Malawi", 1, 0)</f>
        <v>1</v>
      </c>
      <c r="E115" s="7">
        <f t="shared" si="5"/>
        <v>0</v>
      </c>
      <c r="F115" s="7">
        <f t="shared" si="6"/>
        <v>0</v>
      </c>
      <c r="G115" s="10">
        <f>Data!L115</f>
        <v>0.46688329837126902</v>
      </c>
      <c r="H115" s="10">
        <f t="shared" si="7"/>
        <v>0</v>
      </c>
      <c r="I115" s="10">
        <f>Data!H115</f>
        <v>0.50670999999999999</v>
      </c>
      <c r="J115" s="10">
        <f>Data!I115</f>
        <v>0.55289999999999995</v>
      </c>
      <c r="K115" s="10">
        <f t="shared" si="8"/>
        <v>0.53133466044823108</v>
      </c>
      <c r="L115" s="10">
        <f>Data!J115</f>
        <v>0.10369141399860382</v>
      </c>
      <c r="M115" s="21">
        <f>Data!K115</f>
        <v>715.2</v>
      </c>
      <c r="N115" s="21">
        <f>Data!M115</f>
        <v>69.003524780273438</v>
      </c>
      <c r="O115" s="21">
        <f>Data!N115</f>
        <v>69.003524780273438</v>
      </c>
      <c r="P115" s="10">
        <f>Data!O115</f>
        <v>2.1800000000000001E-3</v>
      </c>
      <c r="Q115" s="10">
        <f t="shared" si="9"/>
        <v>0</v>
      </c>
      <c r="R115" s="10">
        <f>Data!Q115</f>
        <v>0.08</v>
      </c>
      <c r="S115" s="10">
        <f>Data!P115</f>
        <v>-1</v>
      </c>
      <c r="W115" s="17"/>
      <c r="X115" s="16"/>
    </row>
    <row r="116" spans="1:24" x14ac:dyDescent="0.25">
      <c r="A116" s="7">
        <f>Data!A116</f>
        <v>201401</v>
      </c>
      <c r="B116" s="7">
        <v>71360</v>
      </c>
      <c r="C116" s="7">
        <f>Data!F116</f>
        <v>1465261</v>
      </c>
      <c r="D116" s="7">
        <f>IF(Data!D116="Malawi", 1, 0)</f>
        <v>1</v>
      </c>
      <c r="E116" s="7">
        <f t="shared" si="5"/>
        <v>0</v>
      </c>
      <c r="F116" s="7">
        <f t="shared" si="6"/>
        <v>0</v>
      </c>
      <c r="G116" s="10">
        <f>Data!L116</f>
        <v>0.57539898677132195</v>
      </c>
      <c r="H116" s="10">
        <f t="shared" si="7"/>
        <v>0</v>
      </c>
      <c r="I116" s="10">
        <f>Data!H116</f>
        <v>0.66121886281588449</v>
      </c>
      <c r="J116" s="10">
        <f>Data!I116</f>
        <v>1.2043999999999999</v>
      </c>
      <c r="K116" s="10">
        <f t="shared" si="8"/>
        <v>0.89185412403096542</v>
      </c>
      <c r="L116" s="10">
        <f>Data!J116</f>
        <v>9.4265513122081757E-2</v>
      </c>
      <c r="M116" s="21">
        <f>Data!K116</f>
        <v>715.2</v>
      </c>
      <c r="N116" s="21">
        <f>Data!M116</f>
        <v>77.915969848632813</v>
      </c>
      <c r="O116" s="21">
        <f>Data!N116</f>
        <v>77.915969848632813</v>
      </c>
      <c r="P116" s="10">
        <f>Data!O116</f>
        <v>5.3E-3</v>
      </c>
      <c r="Q116" s="10">
        <f t="shared" si="9"/>
        <v>0</v>
      </c>
      <c r="R116" s="10">
        <f>Data!Q116</f>
        <v>0.08</v>
      </c>
      <c r="S116" s="10">
        <f>Data!P116</f>
        <v>-1</v>
      </c>
      <c r="W116" s="17"/>
      <c r="X116" s="16"/>
    </row>
    <row r="117" spans="1:24" x14ac:dyDescent="0.25">
      <c r="A117" s="7">
        <f>Data!A117</f>
        <v>201312</v>
      </c>
      <c r="B117" s="7">
        <v>71360</v>
      </c>
      <c r="C117" s="7">
        <f>Data!F117</f>
        <v>1788007</v>
      </c>
      <c r="D117" s="7">
        <f>IF(Data!D117="Malawi", 1, 0)</f>
        <v>1</v>
      </c>
      <c r="E117" s="7">
        <f t="shared" si="5"/>
        <v>0</v>
      </c>
      <c r="F117" s="7">
        <f t="shared" si="6"/>
        <v>0</v>
      </c>
      <c r="G117" s="10">
        <f>Data!L117</f>
        <v>0.88466103711751998</v>
      </c>
      <c r="H117" s="10">
        <f t="shared" si="7"/>
        <v>0</v>
      </c>
      <c r="I117" s="10">
        <f>Data!H117</f>
        <v>0.55980181590482159</v>
      </c>
      <c r="J117" s="10">
        <f>Data!I117</f>
        <v>0.5857</v>
      </c>
      <c r="K117" s="10">
        <f t="shared" si="8"/>
        <v>0.56278888559889906</v>
      </c>
      <c r="L117" s="10">
        <f>Data!J117</f>
        <v>7.9100750386714935E-2</v>
      </c>
      <c r="M117" s="21">
        <f>Data!K117</f>
        <v>646.4</v>
      </c>
      <c r="N117" s="21">
        <f>Data!M117</f>
        <v>70.372489929199219</v>
      </c>
      <c r="O117" s="21">
        <f>Data!N117</f>
        <v>70.372489929199219</v>
      </c>
      <c r="P117" s="10">
        <f>Data!O117</f>
        <v>5.1999999999999998E-2</v>
      </c>
      <c r="Q117" s="10">
        <f t="shared" si="9"/>
        <v>0</v>
      </c>
      <c r="R117" s="10">
        <f>Data!Q117</f>
        <v>-0.21</v>
      </c>
      <c r="S117" s="10">
        <f>Data!P117</f>
        <v>-1.23</v>
      </c>
      <c r="W117" s="17"/>
      <c r="X117" s="16"/>
    </row>
    <row r="118" spans="1:24" x14ac:dyDescent="0.25">
      <c r="A118" s="7">
        <f>Data!A118</f>
        <v>201311</v>
      </c>
      <c r="B118" s="7">
        <v>71360</v>
      </c>
      <c r="C118" s="7">
        <f>Data!F118</f>
        <v>2382790</v>
      </c>
      <c r="D118" s="7">
        <f>IF(Data!D118="Malawi", 1, 0)</f>
        <v>1</v>
      </c>
      <c r="E118" s="7">
        <f t="shared" si="5"/>
        <v>0</v>
      </c>
      <c r="F118" s="7">
        <f t="shared" si="6"/>
        <v>0</v>
      </c>
      <c r="G118" s="10">
        <f>Data!L118</f>
        <v>0.91326827847363801</v>
      </c>
      <c r="H118" s="10">
        <f t="shared" si="7"/>
        <v>0</v>
      </c>
      <c r="I118" s="10">
        <f>Data!H118</f>
        <v>0.52635078418378622</v>
      </c>
      <c r="J118" s="10">
        <f>Data!I118</f>
        <v>0.51539999999999997</v>
      </c>
      <c r="K118" s="10">
        <f t="shared" si="8"/>
        <v>0.52540100381946275</v>
      </c>
      <c r="L118" s="10">
        <f>Data!J118</f>
        <v>0.15906079113483429</v>
      </c>
      <c r="M118" s="21">
        <f>Data!K118</f>
        <v>646.4</v>
      </c>
      <c r="N118" s="21">
        <f>Data!M118</f>
        <v>77.779022216796875</v>
      </c>
      <c r="O118" s="21">
        <f>Data!N118</f>
        <v>77.779022216796875</v>
      </c>
      <c r="P118" s="10">
        <f>Data!O118</f>
        <v>6.9099999999999995E-2</v>
      </c>
      <c r="Q118" s="10">
        <f t="shared" si="9"/>
        <v>0</v>
      </c>
      <c r="R118" s="10">
        <f>Data!Q118</f>
        <v>-0.21</v>
      </c>
      <c r="S118" s="10">
        <f>Data!P118</f>
        <v>-1.23</v>
      </c>
      <c r="W118" s="17"/>
      <c r="X118" s="16"/>
    </row>
    <row r="119" spans="1:24" x14ac:dyDescent="0.25">
      <c r="A119" s="7">
        <f>Data!A119</f>
        <v>201310</v>
      </c>
      <c r="B119" s="7">
        <v>71360</v>
      </c>
      <c r="C119" s="7">
        <f>Data!F119</f>
        <v>1600783</v>
      </c>
      <c r="D119" s="7">
        <f>IF(Data!D119="Malawi", 1, 0)</f>
        <v>1</v>
      </c>
      <c r="E119" s="7">
        <f t="shared" si="5"/>
        <v>0</v>
      </c>
      <c r="F119" s="7">
        <f t="shared" si="6"/>
        <v>0</v>
      </c>
      <c r="G119" s="10">
        <f>Data!L119</f>
        <v>0.85504512964155799</v>
      </c>
      <c r="H119" s="10">
        <f t="shared" si="7"/>
        <v>0</v>
      </c>
      <c r="I119" s="10">
        <f>Data!H119</f>
        <v>0.53288382157123837</v>
      </c>
      <c r="J119" s="10">
        <f>Data!I119</f>
        <v>0.51170000000000004</v>
      </c>
      <c r="K119" s="10">
        <f t="shared" si="8"/>
        <v>0.52981312346168319</v>
      </c>
      <c r="L119" s="10">
        <f>Data!J119</f>
        <v>0.12658685445785522</v>
      </c>
      <c r="M119" s="21">
        <f>Data!K119</f>
        <v>646.4</v>
      </c>
      <c r="N119" s="21">
        <f>Data!M119</f>
        <v>72.953117370605469</v>
      </c>
      <c r="O119" s="21">
        <f>Data!N119</f>
        <v>72.953117370605469</v>
      </c>
      <c r="P119" s="10">
        <f>Data!O119</f>
        <v>5.9400000000000001E-2</v>
      </c>
      <c r="Q119" s="10">
        <f t="shared" si="9"/>
        <v>0</v>
      </c>
      <c r="R119" s="10">
        <f>Data!Q119</f>
        <v>-0.21</v>
      </c>
      <c r="S119" s="10">
        <f>Data!P119</f>
        <v>-1.23</v>
      </c>
      <c r="W119" s="17"/>
      <c r="X119" s="16"/>
    </row>
    <row r="120" spans="1:24" x14ac:dyDescent="0.25">
      <c r="A120" s="7">
        <f>Data!A120</f>
        <v>201309</v>
      </c>
      <c r="B120" s="7">
        <v>71360</v>
      </c>
      <c r="C120" s="7">
        <f>Data!F120</f>
        <v>1942651</v>
      </c>
      <c r="D120" s="7">
        <f>IF(Data!D120="Malawi", 1, 0)</f>
        <v>1</v>
      </c>
      <c r="E120" s="7">
        <f t="shared" si="5"/>
        <v>0</v>
      </c>
      <c r="F120" s="7">
        <f t="shared" si="6"/>
        <v>0</v>
      </c>
      <c r="G120" s="10">
        <f>Data!L120</f>
        <v>0.99430335334410502</v>
      </c>
      <c r="H120" s="10">
        <f t="shared" si="7"/>
        <v>0</v>
      </c>
      <c r="I120" s="10">
        <f>Data!H120</f>
        <v>0.65145908786049633</v>
      </c>
      <c r="J120" s="10">
        <f>Data!I120</f>
        <v>0.64870000000000005</v>
      </c>
      <c r="K120" s="10">
        <f t="shared" si="8"/>
        <v>0.6514433703118625</v>
      </c>
      <c r="L120" s="10">
        <f>Data!J120</f>
        <v>0.12699145078659058</v>
      </c>
      <c r="M120" s="21">
        <f>Data!K120</f>
        <v>646.4</v>
      </c>
      <c r="N120" s="21">
        <f>Data!M120</f>
        <v>100.45932769775391</v>
      </c>
      <c r="O120" s="21">
        <f>Data!N120</f>
        <v>100.45932769775391</v>
      </c>
      <c r="P120" s="10">
        <f>Data!O120</f>
        <v>8.5800000000000001E-2</v>
      </c>
      <c r="Q120" s="10">
        <f t="shared" si="9"/>
        <v>0</v>
      </c>
      <c r="R120" s="10">
        <f>Data!Q120</f>
        <v>-0.21</v>
      </c>
      <c r="S120" s="10">
        <f>Data!P120</f>
        <v>-1.23</v>
      </c>
      <c r="W120" s="17"/>
      <c r="X120" s="16"/>
    </row>
    <row r="121" spans="1:24" x14ac:dyDescent="0.25">
      <c r="A121" s="7">
        <f>Data!A121</f>
        <v>201308</v>
      </c>
      <c r="B121" s="7">
        <v>71360</v>
      </c>
      <c r="C121" s="7">
        <f>Data!F121</f>
        <v>981625</v>
      </c>
      <c r="D121" s="7">
        <f>IF(Data!D121="Malawi", 1, 0)</f>
        <v>1</v>
      </c>
      <c r="E121" s="7">
        <f t="shared" si="5"/>
        <v>0</v>
      </c>
      <c r="F121" s="7">
        <f t="shared" si="6"/>
        <v>0</v>
      </c>
      <c r="G121" s="10">
        <f>Data!L121</f>
        <v>0.97740262067866801</v>
      </c>
      <c r="H121" s="10">
        <f t="shared" si="7"/>
        <v>0</v>
      </c>
      <c r="I121" s="10">
        <f>Data!H121</f>
        <v>0.52297549280767186</v>
      </c>
      <c r="J121" s="10">
        <f>Data!I121</f>
        <v>0.52859999999999996</v>
      </c>
      <c r="K121" s="10">
        <f t="shared" si="8"/>
        <v>0.52310259193019237</v>
      </c>
      <c r="L121" s="10">
        <f>Data!J121</f>
        <v>0.17600917816162109</v>
      </c>
      <c r="M121" s="21">
        <f>Data!K121</f>
        <v>646.4</v>
      </c>
      <c r="N121" s="21">
        <f>Data!M121</f>
        <v>90.956748962402344</v>
      </c>
      <c r="O121" s="21">
        <f>Data!N121</f>
        <v>90.956748962402344</v>
      </c>
      <c r="P121" s="10">
        <f>Data!O121</f>
        <v>5.2200000000000003E-2</v>
      </c>
      <c r="Q121" s="10">
        <f t="shared" si="9"/>
        <v>0</v>
      </c>
      <c r="R121" s="10">
        <f>Data!Q121</f>
        <v>-0.21</v>
      </c>
      <c r="S121" s="10">
        <f>Data!P121</f>
        <v>-1.23</v>
      </c>
      <c r="W121" s="17"/>
      <c r="X121" s="16"/>
    </row>
    <row r="122" spans="1:24" x14ac:dyDescent="0.25">
      <c r="A122" s="7">
        <f>Data!A122</f>
        <v>201307</v>
      </c>
      <c r="B122" s="7">
        <v>71360</v>
      </c>
      <c r="C122" s="7">
        <f>Data!F122</f>
        <v>533533</v>
      </c>
      <c r="D122" s="7">
        <f>IF(Data!D122="Malawi", 1, 0)</f>
        <v>1</v>
      </c>
      <c r="E122" s="7">
        <f t="shared" si="5"/>
        <v>0</v>
      </c>
      <c r="F122" s="7">
        <f t="shared" si="6"/>
        <v>0</v>
      </c>
      <c r="G122" s="10">
        <f>Data!L122</f>
        <v>0.95731036648275203</v>
      </c>
      <c r="H122" s="10">
        <f t="shared" si="7"/>
        <v>0</v>
      </c>
      <c r="I122" s="10">
        <f>Data!H122</f>
        <v>0.67879516539440199</v>
      </c>
      <c r="J122" s="10">
        <f>Data!I122</f>
        <v>0.69020000000000004</v>
      </c>
      <c r="K122" s="10">
        <f t="shared" si="8"/>
        <v>0.67928203360403983</v>
      </c>
      <c r="L122" s="10">
        <f>Data!J122</f>
        <v>7.8542254865169525E-2</v>
      </c>
      <c r="M122" s="21">
        <f>Data!K122</f>
        <v>646.4</v>
      </c>
      <c r="N122" s="21">
        <f>Data!M122</f>
        <v>73.975814819335938</v>
      </c>
      <c r="O122" s="21">
        <f>Data!N122</f>
        <v>73.975814819335938</v>
      </c>
      <c r="P122" s="10">
        <f>Data!O122</f>
        <v>2.5999999999999999E-2</v>
      </c>
      <c r="Q122" s="10">
        <f t="shared" si="9"/>
        <v>0</v>
      </c>
      <c r="R122" s="10">
        <f>Data!Q122</f>
        <v>-0.21</v>
      </c>
      <c r="S122" s="10">
        <f>Data!P122</f>
        <v>-1.23</v>
      </c>
      <c r="W122" s="17"/>
      <c r="X122" s="16"/>
    </row>
    <row r="123" spans="1:24" x14ac:dyDescent="0.25">
      <c r="A123" s="7">
        <f>Data!A123</f>
        <v>201306</v>
      </c>
      <c r="B123" s="7">
        <v>71360</v>
      </c>
      <c r="C123" s="7">
        <f>Data!F123</f>
        <v>902847</v>
      </c>
      <c r="D123" s="7">
        <f>IF(Data!D123="Malawi", 1, 0)</f>
        <v>1</v>
      </c>
      <c r="E123" s="7">
        <f t="shared" si="5"/>
        <v>0</v>
      </c>
      <c r="F123" s="7">
        <f t="shared" si="6"/>
        <v>0</v>
      </c>
      <c r="G123" s="10">
        <f>Data!L123</f>
        <v>0.89392916267317202</v>
      </c>
      <c r="H123" s="10">
        <f t="shared" si="7"/>
        <v>0</v>
      </c>
      <c r="I123" s="10">
        <f>Data!H123</f>
        <v>0.68242403628117909</v>
      </c>
      <c r="J123" s="10">
        <f>Data!I123</f>
        <v>0.71679999999999999</v>
      </c>
      <c r="K123" s="10">
        <f t="shared" si="8"/>
        <v>0.68607032353675113</v>
      </c>
      <c r="L123" s="10">
        <f>Data!J123</f>
        <v>0.11796491593122482</v>
      </c>
      <c r="M123" s="21">
        <f>Data!K123</f>
        <v>646.4</v>
      </c>
      <c r="N123" s="21">
        <f>Data!M123</f>
        <v>82.973007202148438</v>
      </c>
      <c r="O123" s="21">
        <f>Data!N123</f>
        <v>82.973007202148438</v>
      </c>
      <c r="P123" s="10">
        <f>Data!O123</f>
        <v>4.6100000000000002E-2</v>
      </c>
      <c r="Q123" s="10">
        <f t="shared" si="9"/>
        <v>0</v>
      </c>
      <c r="R123" s="10">
        <f>Data!Q123</f>
        <v>-0.21</v>
      </c>
      <c r="S123" s="10">
        <f>Data!P123</f>
        <v>-1.23</v>
      </c>
      <c r="W123" s="17"/>
      <c r="X123" s="16"/>
    </row>
    <row r="124" spans="1:24" x14ac:dyDescent="0.25">
      <c r="A124" s="7">
        <f>Data!A124</f>
        <v>201305</v>
      </c>
      <c r="B124" s="7">
        <v>71360</v>
      </c>
      <c r="C124" s="7">
        <f>Data!F124</f>
        <v>288751</v>
      </c>
      <c r="D124" s="7">
        <f>IF(Data!D124="Malawi", 1, 0)</f>
        <v>1</v>
      </c>
      <c r="E124" s="7">
        <f t="shared" si="5"/>
        <v>0</v>
      </c>
      <c r="F124" s="7">
        <f t="shared" si="6"/>
        <v>0</v>
      </c>
      <c r="G124" s="10">
        <f>Data!L124</f>
        <v>0.84579491265275497</v>
      </c>
      <c r="H124" s="10">
        <f t="shared" si="7"/>
        <v>0</v>
      </c>
      <c r="I124" s="10">
        <f>Data!H124</f>
        <v>0.68914319809069213</v>
      </c>
      <c r="J124" s="10">
        <f>Data!I124</f>
        <v>0.73770000000000002</v>
      </c>
      <c r="K124" s="10">
        <f t="shared" si="8"/>
        <v>0.69663090397041982</v>
      </c>
      <c r="L124" s="10">
        <f>Data!J124</f>
        <v>0.12266397476196289</v>
      </c>
      <c r="M124" s="21">
        <f>Data!K124</f>
        <v>646.4</v>
      </c>
      <c r="N124" s="21">
        <f>Data!M124</f>
        <v>83.717315673828125</v>
      </c>
      <c r="O124" s="21">
        <f>Data!N124</f>
        <v>83.717315673828125</v>
      </c>
      <c r="P124" s="10">
        <f>Data!O124</f>
        <v>9.7000000000000003E-3</v>
      </c>
      <c r="Q124" s="10">
        <f t="shared" si="9"/>
        <v>0</v>
      </c>
      <c r="R124" s="10">
        <f>Data!Q124</f>
        <v>-0.21</v>
      </c>
      <c r="S124" s="10">
        <f>Data!P124</f>
        <v>-1.23</v>
      </c>
      <c r="W124" s="17"/>
      <c r="X124" s="16"/>
    </row>
    <row r="125" spans="1:24" x14ac:dyDescent="0.25">
      <c r="A125" s="7">
        <f>Data!A125</f>
        <v>201304</v>
      </c>
      <c r="B125" s="7">
        <v>71360</v>
      </c>
      <c r="C125" s="7">
        <f>Data!F125</f>
        <v>81223</v>
      </c>
      <c r="D125" s="7">
        <f>IF(Data!D125="Malawi", 1, 0)</f>
        <v>1</v>
      </c>
      <c r="E125" s="7">
        <f t="shared" si="5"/>
        <v>0</v>
      </c>
      <c r="F125" s="7">
        <f t="shared" si="6"/>
        <v>0</v>
      </c>
      <c r="G125" s="10">
        <f>Data!L125</f>
        <v>0.262746214388074</v>
      </c>
      <c r="H125" s="10">
        <f t="shared" si="7"/>
        <v>0</v>
      </c>
      <c r="I125" s="10">
        <f>Data!H125</f>
        <v>0.54148666666666667</v>
      </c>
      <c r="J125" s="10">
        <f>Data!I125</f>
        <v>0.88049999999999995</v>
      </c>
      <c r="K125" s="10">
        <f t="shared" si="8"/>
        <v>0.79142553003958438</v>
      </c>
      <c r="L125" s="10">
        <f>Data!J125</f>
        <v>0.14600180089473724</v>
      </c>
      <c r="M125" s="21">
        <f>Data!K125</f>
        <v>646.4</v>
      </c>
      <c r="N125" s="21">
        <f>Data!M125</f>
        <v>95.107872009277344</v>
      </c>
      <c r="O125" s="21">
        <f>Data!N125</f>
        <v>95.107872009277344</v>
      </c>
      <c r="P125" s="10">
        <f>Data!O125</f>
        <v>2.7000000000000001E-3</v>
      </c>
      <c r="Q125" s="10">
        <f t="shared" si="9"/>
        <v>0</v>
      </c>
      <c r="R125" s="10">
        <f>Data!Q125</f>
        <v>-0.21</v>
      </c>
      <c r="S125" s="10">
        <f>Data!P125</f>
        <v>-1.23</v>
      </c>
      <c r="W125" s="17"/>
      <c r="X125" s="16"/>
    </row>
    <row r="126" spans="1:24" x14ac:dyDescent="0.25">
      <c r="A126" s="7">
        <f>Data!A126</f>
        <v>202506</v>
      </c>
      <c r="B126" s="7">
        <v>71360</v>
      </c>
      <c r="C126" s="7">
        <f>Data!F126</f>
        <v>1111108</v>
      </c>
      <c r="D126" s="7">
        <f>IF(Data!D126="Malawi", 1, 0)</f>
        <v>0</v>
      </c>
      <c r="E126" s="7">
        <f t="shared" si="5"/>
        <v>1</v>
      </c>
      <c r="F126" s="7">
        <f t="shared" si="6"/>
        <v>0</v>
      </c>
      <c r="G126" s="10">
        <f>Data!L126</f>
        <v>1</v>
      </c>
      <c r="H126" s="10">
        <f t="shared" si="7"/>
        <v>0</v>
      </c>
      <c r="I126" s="10">
        <f>Data!H126</f>
        <v>0.63620945346273872</v>
      </c>
      <c r="J126" s="10">
        <f>Data!I126</f>
        <v>0.63619999999999999</v>
      </c>
      <c r="K126" s="10">
        <f t="shared" si="8"/>
        <v>0.63620945346273872</v>
      </c>
      <c r="L126" s="10">
        <f>Data!J126</f>
        <v>0.46758103370666504</v>
      </c>
      <c r="M126" s="21"/>
      <c r="N126" s="21">
        <f>Data!M126</f>
        <v>220.12001037597656</v>
      </c>
      <c r="O126" s="21">
        <f>Data!N126</f>
        <v>220.12001037597656</v>
      </c>
      <c r="P126" s="10">
        <f>Data!O126</f>
        <v>2.5999999999999999E-2</v>
      </c>
      <c r="Q126" s="10">
        <f t="shared" si="9"/>
        <v>0</v>
      </c>
      <c r="R126" s="10"/>
      <c r="S126" s="10"/>
      <c r="T126" s="19"/>
      <c r="W126" s="18"/>
      <c r="X126" s="16"/>
    </row>
    <row r="127" spans="1:24" x14ac:dyDescent="0.25">
      <c r="A127" s="7">
        <f>Data!A127</f>
        <v>202505</v>
      </c>
      <c r="B127" s="7">
        <v>71360</v>
      </c>
      <c r="C127" s="7">
        <f>Data!F127</f>
        <v>3429659</v>
      </c>
      <c r="D127" s="7">
        <f>IF(Data!D127="Malawi", 1, 0)</f>
        <v>0</v>
      </c>
      <c r="E127" s="7">
        <f t="shared" si="5"/>
        <v>1</v>
      </c>
      <c r="F127" s="7">
        <f t="shared" si="6"/>
        <v>0</v>
      </c>
      <c r="G127" s="10">
        <f>Data!L127</f>
        <v>1</v>
      </c>
      <c r="H127" s="10">
        <f t="shared" si="7"/>
        <v>0</v>
      </c>
      <c r="I127" s="10">
        <f>Data!H127</f>
        <v>0.71366481469921139</v>
      </c>
      <c r="J127" s="10">
        <f>Data!I127</f>
        <v>0.7137</v>
      </c>
      <c r="K127" s="10">
        <f t="shared" si="8"/>
        <v>0.71366481469921139</v>
      </c>
      <c r="L127" s="10">
        <f>Data!J127</f>
        <v>0.76241862773895264</v>
      </c>
      <c r="M127" s="21"/>
      <c r="N127" s="21">
        <f>Data!M127</f>
        <v>165.22462463378906</v>
      </c>
      <c r="O127" s="21">
        <f>Data!N127</f>
        <v>165.22462463378906</v>
      </c>
      <c r="P127" s="10">
        <f>Data!O127</f>
        <v>4.8500000000000001E-2</v>
      </c>
      <c r="Q127" s="10">
        <f t="shared" si="9"/>
        <v>0</v>
      </c>
      <c r="R127" s="10"/>
      <c r="S127" s="10"/>
      <c r="T127" s="19"/>
      <c r="W127" s="17"/>
      <c r="X127" s="16"/>
    </row>
    <row r="128" spans="1:24" x14ac:dyDescent="0.25">
      <c r="A128" s="7">
        <f>Data!A128</f>
        <v>202504</v>
      </c>
      <c r="B128" s="7">
        <v>71360</v>
      </c>
      <c r="C128" s="7">
        <f>Data!F128</f>
        <v>2330356</v>
      </c>
      <c r="D128" s="7">
        <f>IF(Data!D128="Malawi", 1, 0)</f>
        <v>0</v>
      </c>
      <c r="E128" s="7">
        <f t="shared" si="5"/>
        <v>1</v>
      </c>
      <c r="F128" s="7">
        <f t="shared" si="6"/>
        <v>0</v>
      </c>
      <c r="G128" s="10">
        <f>Data!L128</f>
        <v>1</v>
      </c>
      <c r="H128" s="10">
        <f t="shared" si="7"/>
        <v>0</v>
      </c>
      <c r="I128" s="10">
        <f>Data!H128</f>
        <v>0.76144227156137168</v>
      </c>
      <c r="J128" s="10">
        <f>Data!I128</f>
        <v>0.76139999999999997</v>
      </c>
      <c r="K128" s="10">
        <f t="shared" si="8"/>
        <v>0.76144227156137168</v>
      </c>
      <c r="L128" s="10">
        <f>Data!J128</f>
        <v>0.4251442551612854</v>
      </c>
      <c r="M128" s="21"/>
      <c r="N128" s="21">
        <f>Data!M128</f>
        <v>140.52890014648438</v>
      </c>
      <c r="O128" s="21">
        <f>Data!N128</f>
        <v>140.52890014648438</v>
      </c>
      <c r="P128" s="10">
        <f>Data!O128</f>
        <v>2.9399999999999999E-2</v>
      </c>
      <c r="Q128" s="10">
        <f t="shared" si="9"/>
        <v>0</v>
      </c>
      <c r="R128" s="10"/>
      <c r="S128" s="10"/>
      <c r="T128" s="19"/>
      <c r="W128" s="17"/>
      <c r="X128" s="16"/>
    </row>
    <row r="129" spans="1:24" x14ac:dyDescent="0.25">
      <c r="A129" s="7">
        <f>Data!A129</f>
        <v>202503</v>
      </c>
      <c r="B129" s="7">
        <v>71360</v>
      </c>
      <c r="C129" s="7">
        <f>Data!F129</f>
        <v>449917</v>
      </c>
      <c r="D129" s="7">
        <f>IF(Data!D129="Malawi", 1, 0)</f>
        <v>0</v>
      </c>
      <c r="E129" s="7">
        <f t="shared" si="5"/>
        <v>1</v>
      </c>
      <c r="F129" s="7">
        <f t="shared" si="6"/>
        <v>0</v>
      </c>
      <c r="G129" s="10">
        <f>Data!L129</f>
        <v>1</v>
      </c>
      <c r="H129" s="10">
        <f t="shared" si="7"/>
        <v>0</v>
      </c>
      <c r="I129" s="10">
        <f>Data!H129</f>
        <v>0.79470978909810297</v>
      </c>
      <c r="J129" s="10">
        <f>Data!I129</f>
        <v>0.79469999999999996</v>
      </c>
      <c r="K129" s="10">
        <f t="shared" si="8"/>
        <v>0.79470978909810297</v>
      </c>
      <c r="L129" s="10">
        <f>Data!J129</f>
        <v>0.24915465712547302</v>
      </c>
      <c r="M129" s="21"/>
      <c r="N129" s="21">
        <f>Data!M129</f>
        <v>171.87290954589844</v>
      </c>
      <c r="O129" s="21">
        <f>Data!N129</f>
        <v>171.87290954589844</v>
      </c>
      <c r="P129" s="10">
        <f>Data!O129</f>
        <v>1.8200000000000001E-2</v>
      </c>
      <c r="Q129" s="10">
        <f t="shared" si="9"/>
        <v>0</v>
      </c>
      <c r="R129" s="10"/>
      <c r="S129" s="10"/>
      <c r="T129" s="19"/>
      <c r="W129" s="17"/>
      <c r="X129" s="16"/>
    </row>
    <row r="130" spans="1:24" x14ac:dyDescent="0.25">
      <c r="A130" s="7">
        <f>Data!A130</f>
        <v>202502</v>
      </c>
      <c r="B130" s="7">
        <v>71360</v>
      </c>
      <c r="C130" s="7">
        <f>Data!F130</f>
        <v>630155</v>
      </c>
      <c r="D130" s="7">
        <f>IF(Data!D130="Malawi", 1, 0)</f>
        <v>0</v>
      </c>
      <c r="E130" s="7">
        <f t="shared" ref="E130:E193" si="10">IF(A130&gt;202100, 1, 0)</f>
        <v>1</v>
      </c>
      <c r="F130" s="7">
        <f t="shared" ref="F130:F193" si="11">D130*E130</f>
        <v>0</v>
      </c>
      <c r="G130" s="10">
        <f>Data!L130</f>
        <v>1</v>
      </c>
      <c r="H130" s="10">
        <f t="shared" si="7"/>
        <v>0</v>
      </c>
      <c r="I130" s="10">
        <f>Data!H130</f>
        <v>0.78752640063986401</v>
      </c>
      <c r="J130" s="10">
        <f>Data!I130</f>
        <v>0.78749999999999998</v>
      </c>
      <c r="K130" s="10">
        <f t="shared" si="8"/>
        <v>0.78752640063986401</v>
      </c>
      <c r="L130" s="10">
        <f>Data!J130</f>
        <v>0.20897936820983887</v>
      </c>
      <c r="M130" s="21"/>
      <c r="N130" s="21">
        <f>Data!M130</f>
        <v>136.20162963867188</v>
      </c>
      <c r="O130" s="21">
        <f>Data!N130</f>
        <v>136.20162963867188</v>
      </c>
      <c r="P130" s="10">
        <f>Data!O130</f>
        <v>4.1500000000000002E-2</v>
      </c>
      <c r="Q130" s="10">
        <f t="shared" si="9"/>
        <v>0</v>
      </c>
      <c r="R130" s="10"/>
      <c r="S130" s="10"/>
      <c r="T130" s="19"/>
      <c r="W130" s="17"/>
      <c r="X130" s="16"/>
    </row>
    <row r="131" spans="1:24" x14ac:dyDescent="0.25">
      <c r="A131" s="7">
        <f>Data!A131</f>
        <v>202501</v>
      </c>
      <c r="B131" s="7">
        <v>71360</v>
      </c>
      <c r="C131" s="7">
        <f>Data!F131</f>
        <v>19169112</v>
      </c>
      <c r="D131" s="7">
        <f>IF(Data!D131="Malawi", 1, 0)</f>
        <v>0</v>
      </c>
      <c r="E131" s="7">
        <f t="shared" si="10"/>
        <v>1</v>
      </c>
      <c r="F131" s="7">
        <f t="shared" si="11"/>
        <v>0</v>
      </c>
      <c r="G131" s="10">
        <f>Data!L131</f>
        <v>0.99773456397474203</v>
      </c>
      <c r="H131" s="10">
        <f t="shared" ref="H131:H194" si="12">F131*G131</f>
        <v>0</v>
      </c>
      <c r="I131" s="10">
        <f>Data!H131</f>
        <v>0.79098115916912182</v>
      </c>
      <c r="J131" s="10">
        <f>Data!I131</f>
        <v>0.79200000000000004</v>
      </c>
      <c r="K131" s="10">
        <f t="shared" ref="K131:K194" si="13">(I131*G131)+(J131*(1-G131))</f>
        <v>0.79098346728784408</v>
      </c>
      <c r="L131" s="10">
        <f>Data!J131</f>
        <v>0.23840893805027008</v>
      </c>
      <c r="M131" s="21"/>
      <c r="N131" s="21">
        <f>Data!M131</f>
        <v>112.32621765136719</v>
      </c>
      <c r="O131" s="21">
        <f>Data!N131</f>
        <v>112.32621765136719</v>
      </c>
      <c r="P131" s="10">
        <f>Data!O131</f>
        <v>0.39560000000000001</v>
      </c>
      <c r="Q131" s="10">
        <f t="shared" ref="Q131:Q194" si="14">P131*F131</f>
        <v>0</v>
      </c>
      <c r="R131" s="10"/>
      <c r="S131" s="10"/>
      <c r="T131" s="19"/>
      <c r="W131" s="17"/>
      <c r="X131" s="16"/>
    </row>
    <row r="132" spans="1:24" x14ac:dyDescent="0.25">
      <c r="A132" s="7">
        <f>Data!A132</f>
        <v>202412</v>
      </c>
      <c r="B132" s="7">
        <v>71360</v>
      </c>
      <c r="C132" s="7">
        <f>Data!F132</f>
        <v>40359742</v>
      </c>
      <c r="D132" s="7">
        <f>IF(Data!D132="Malawi", 1, 0)</f>
        <v>0</v>
      </c>
      <c r="E132" s="7">
        <f t="shared" si="10"/>
        <v>1</v>
      </c>
      <c r="F132" s="7">
        <f t="shared" si="11"/>
        <v>0</v>
      </c>
      <c r="G132" s="10">
        <f>Data!L132</f>
        <v>0.99654491028964298</v>
      </c>
      <c r="H132" s="10">
        <f t="shared" si="12"/>
        <v>0</v>
      </c>
      <c r="I132" s="10">
        <f>Data!H132</f>
        <v>0.80485753372207114</v>
      </c>
      <c r="J132" s="10">
        <f>Data!I132</f>
        <v>0.80520000000000003</v>
      </c>
      <c r="K132" s="10">
        <f t="shared" si="13"/>
        <v>0.80485871697378419</v>
      </c>
      <c r="L132" s="10">
        <f>Data!J132</f>
        <v>0.19472841918468475</v>
      </c>
      <c r="M132" s="21">
        <f>Data!K132</f>
        <v>562.29999999999995</v>
      </c>
      <c r="N132" s="21">
        <f>Data!M132</f>
        <v>141.9027099609375</v>
      </c>
      <c r="O132" s="21">
        <f>Data!N132</f>
        <v>141.9027099609375</v>
      </c>
      <c r="P132" s="10">
        <f>Data!O132</f>
        <v>0.4042</v>
      </c>
      <c r="Q132" s="10">
        <f t="shared" si="14"/>
        <v>0</v>
      </c>
      <c r="R132" s="10"/>
      <c r="S132" s="10"/>
      <c r="T132" s="19"/>
      <c r="W132" s="17"/>
      <c r="X132" s="16"/>
    </row>
    <row r="133" spans="1:24" x14ac:dyDescent="0.25">
      <c r="A133" s="7">
        <f>Data!A133</f>
        <v>202411</v>
      </c>
      <c r="B133" s="7">
        <v>71360</v>
      </c>
      <c r="C133" s="7">
        <f>Data!F133</f>
        <v>60597963</v>
      </c>
      <c r="D133" s="7">
        <f>IF(Data!D133="Malawi", 1, 0)</f>
        <v>0</v>
      </c>
      <c r="E133" s="7">
        <f t="shared" si="10"/>
        <v>1</v>
      </c>
      <c r="F133" s="7">
        <f t="shared" si="11"/>
        <v>0</v>
      </c>
      <c r="G133" s="10">
        <f>Data!L133</f>
        <v>1</v>
      </c>
      <c r="H133" s="10">
        <f t="shared" si="12"/>
        <v>0</v>
      </c>
      <c r="I133" s="10">
        <f>Data!H133</f>
        <v>0.83839425500770626</v>
      </c>
      <c r="J133" s="10">
        <f>Data!I133</f>
        <v>0.83840000000000003</v>
      </c>
      <c r="K133" s="10">
        <f t="shared" si="13"/>
        <v>0.83839425500770626</v>
      </c>
      <c r="L133" s="10">
        <f>Data!J133</f>
        <v>0.18260814249515533</v>
      </c>
      <c r="M133" s="21">
        <f>Data!K133</f>
        <v>562.29999999999995</v>
      </c>
      <c r="N133" s="21">
        <f>Data!M133</f>
        <v>128.48176574707031</v>
      </c>
      <c r="O133" s="21">
        <f>Data!N133</f>
        <v>128.48176574707031</v>
      </c>
      <c r="P133" s="10">
        <f>Data!O133</f>
        <v>0.36070000000000002</v>
      </c>
      <c r="Q133" s="10">
        <f t="shared" si="14"/>
        <v>0</v>
      </c>
      <c r="R133" s="10"/>
      <c r="S133" s="10"/>
      <c r="T133" s="19"/>
      <c r="W133" s="17"/>
      <c r="X133" s="16"/>
    </row>
    <row r="134" spans="1:24" x14ac:dyDescent="0.25">
      <c r="A134" s="7">
        <f>Data!A134</f>
        <v>202410</v>
      </c>
      <c r="B134" s="7">
        <v>71360</v>
      </c>
      <c r="C134" s="7">
        <f>Data!F134</f>
        <v>102702315</v>
      </c>
      <c r="D134" s="7">
        <f>IF(Data!D134="Malawi", 1, 0)</f>
        <v>0</v>
      </c>
      <c r="E134" s="7">
        <f t="shared" si="10"/>
        <v>1</v>
      </c>
      <c r="F134" s="7">
        <f t="shared" si="11"/>
        <v>0</v>
      </c>
      <c r="G134" s="10">
        <f>Data!L134</f>
        <v>0.99966953247064605</v>
      </c>
      <c r="H134" s="10">
        <f t="shared" si="12"/>
        <v>0</v>
      </c>
      <c r="I134" s="10">
        <f>Data!H134</f>
        <v>0.89504828097084843</v>
      </c>
      <c r="J134" s="10">
        <f>Data!I134</f>
        <v>0.8952</v>
      </c>
      <c r="K134" s="10">
        <f t="shared" si="13"/>
        <v>0.89504833110906112</v>
      </c>
      <c r="L134" s="10">
        <f>Data!J134</f>
        <v>0.26585879921913147</v>
      </c>
      <c r="M134" s="21">
        <f>Data!K134</f>
        <v>562.29999999999995</v>
      </c>
      <c r="N134" s="21">
        <f>Data!M134</f>
        <v>130.689208984375</v>
      </c>
      <c r="O134" s="21">
        <f>Data!N134</f>
        <v>130.689208984375</v>
      </c>
      <c r="P134" s="10">
        <f>Data!O134</f>
        <v>0.4113</v>
      </c>
      <c r="Q134" s="10">
        <f t="shared" si="14"/>
        <v>0</v>
      </c>
      <c r="R134" s="10"/>
      <c r="S134" s="10"/>
      <c r="T134" s="19"/>
      <c r="W134" s="17"/>
      <c r="X134" s="16"/>
    </row>
    <row r="135" spans="1:24" x14ac:dyDescent="0.25">
      <c r="A135" s="7">
        <f>Data!A135</f>
        <v>202409</v>
      </c>
      <c r="B135" s="7">
        <v>71360</v>
      </c>
      <c r="C135" s="7">
        <f>Data!F135</f>
        <v>34860661</v>
      </c>
      <c r="D135" s="7">
        <f>IF(Data!D135="Malawi", 1, 0)</f>
        <v>0</v>
      </c>
      <c r="E135" s="7">
        <f t="shared" si="10"/>
        <v>1</v>
      </c>
      <c r="F135" s="7">
        <f t="shared" si="11"/>
        <v>0</v>
      </c>
      <c r="G135" s="10">
        <f>Data!L135</f>
        <v>1</v>
      </c>
      <c r="H135" s="10">
        <f t="shared" si="12"/>
        <v>0</v>
      </c>
      <c r="I135" s="10">
        <f>Data!H135</f>
        <v>1.018346868189971</v>
      </c>
      <c r="J135" s="10">
        <f>Data!I135</f>
        <v>1.0183</v>
      </c>
      <c r="K135" s="10">
        <f t="shared" si="13"/>
        <v>1.018346868189971</v>
      </c>
      <c r="L135" s="10">
        <f>Data!J135</f>
        <v>0.16914969682693481</v>
      </c>
      <c r="M135" s="21">
        <f>Data!K135</f>
        <v>562.29999999999995</v>
      </c>
      <c r="N135" s="21">
        <f>Data!M135</f>
        <v>130.14187622070313</v>
      </c>
      <c r="O135" s="21">
        <f>Data!N135</f>
        <v>130.14187622070313</v>
      </c>
      <c r="P135" s="10">
        <f>Data!O135</f>
        <v>0.1648</v>
      </c>
      <c r="Q135" s="10">
        <f t="shared" si="14"/>
        <v>0</v>
      </c>
      <c r="R135" s="10"/>
      <c r="S135" s="10"/>
      <c r="T135" s="19"/>
      <c r="W135" s="17"/>
      <c r="X135" s="16"/>
    </row>
    <row r="136" spans="1:24" x14ac:dyDescent="0.25">
      <c r="A136" s="7">
        <f>Data!A136</f>
        <v>202408</v>
      </c>
      <c r="B136" s="7">
        <v>71360</v>
      </c>
      <c r="C136" s="7">
        <f>Data!F136</f>
        <v>21427061</v>
      </c>
      <c r="D136" s="7">
        <f>IF(Data!D136="Malawi", 1, 0)</f>
        <v>0</v>
      </c>
      <c r="E136" s="7">
        <f t="shared" si="10"/>
        <v>1</v>
      </c>
      <c r="F136" s="7">
        <f t="shared" si="11"/>
        <v>0</v>
      </c>
      <c r="G136" s="10">
        <f>Data!L136</f>
        <v>1</v>
      </c>
      <c r="H136" s="10">
        <f t="shared" si="12"/>
        <v>0</v>
      </c>
      <c r="I136" s="10">
        <f>Data!H136</f>
        <v>1.1704363382112755</v>
      </c>
      <c r="J136" s="10">
        <f>Data!I136</f>
        <v>1.1704000000000001</v>
      </c>
      <c r="K136" s="10">
        <f t="shared" si="13"/>
        <v>1.1704363382112755</v>
      </c>
      <c r="L136" s="10">
        <f>Data!J136</f>
        <v>0.2278769463300705</v>
      </c>
      <c r="M136" s="21">
        <f>Data!K136</f>
        <v>562.29999999999995</v>
      </c>
      <c r="N136" s="21">
        <f>Data!M136</f>
        <v>140.76402282714844</v>
      </c>
      <c r="O136" s="21">
        <f>Data!N136</f>
        <v>140.76402282714844</v>
      </c>
      <c r="P136" s="10">
        <f>Data!O136</f>
        <v>0.18990000000000001</v>
      </c>
      <c r="Q136" s="10">
        <f t="shared" si="14"/>
        <v>0</v>
      </c>
      <c r="R136" s="10"/>
      <c r="S136" s="10"/>
      <c r="T136" s="19"/>
      <c r="W136" s="17"/>
      <c r="X136" s="16"/>
    </row>
    <row r="137" spans="1:24" x14ac:dyDescent="0.25">
      <c r="A137" s="7">
        <f>Data!A137</f>
        <v>202407</v>
      </c>
      <c r="B137" s="7">
        <v>71360</v>
      </c>
      <c r="C137" s="7">
        <f>Data!F137</f>
        <v>2248969</v>
      </c>
      <c r="D137" s="7">
        <f>IF(Data!D137="Malawi", 1, 0)</f>
        <v>0</v>
      </c>
      <c r="E137" s="7">
        <f t="shared" si="10"/>
        <v>1</v>
      </c>
      <c r="F137" s="7">
        <f t="shared" si="11"/>
        <v>0</v>
      </c>
      <c r="G137" s="10">
        <f>Data!L137</f>
        <v>0.96737130751777001</v>
      </c>
      <c r="H137" s="10">
        <f t="shared" si="12"/>
        <v>0</v>
      </c>
      <c r="I137" s="10">
        <f>Data!H137</f>
        <v>1.2751570579696998</v>
      </c>
      <c r="J137" s="10">
        <f>Data!I137</f>
        <v>1.2884</v>
      </c>
      <c r="K137" s="10">
        <f t="shared" si="13"/>
        <v>1.2755891578527665</v>
      </c>
      <c r="L137" s="10">
        <f>Data!J137</f>
        <v>0.16011823713779449</v>
      </c>
      <c r="M137" s="21">
        <f>Data!K137</f>
        <v>562.29999999999995</v>
      </c>
      <c r="N137" s="21">
        <f>Data!M137</f>
        <v>92.394874572753906</v>
      </c>
      <c r="O137" s="21">
        <f>Data!N137</f>
        <v>92.394874572753906</v>
      </c>
      <c r="P137" s="10">
        <f>Data!O137</f>
        <v>2.41E-2</v>
      </c>
      <c r="Q137" s="10">
        <f t="shared" si="14"/>
        <v>0</v>
      </c>
      <c r="R137" s="10"/>
      <c r="S137" s="10"/>
      <c r="T137" s="19"/>
      <c r="W137" s="17"/>
      <c r="X137" s="16"/>
    </row>
    <row r="138" spans="1:24" x14ac:dyDescent="0.25">
      <c r="A138" s="7">
        <f>Data!A138</f>
        <v>202406</v>
      </c>
      <c r="B138" s="7">
        <v>71360</v>
      </c>
      <c r="C138" s="7">
        <f>Data!F138</f>
        <v>942760</v>
      </c>
      <c r="D138" s="7">
        <f>IF(Data!D138="Malawi", 1, 0)</f>
        <v>0</v>
      </c>
      <c r="E138" s="7">
        <f t="shared" si="10"/>
        <v>1</v>
      </c>
      <c r="F138" s="7">
        <f t="shared" si="11"/>
        <v>0</v>
      </c>
      <c r="G138" s="10">
        <f>Data!L138</f>
        <v>0.98265377808259702</v>
      </c>
      <c r="H138" s="10">
        <f t="shared" si="12"/>
        <v>0</v>
      </c>
      <c r="I138" s="10">
        <f>Data!H138</f>
        <v>1.3008071748878924</v>
      </c>
      <c r="J138" s="10">
        <f>Data!I138</f>
        <v>1.3063</v>
      </c>
      <c r="K138" s="10">
        <f t="shared" si="13"/>
        <v>1.3009024546512407</v>
      </c>
      <c r="L138" s="10">
        <f>Data!J138</f>
        <v>0.19021050631999969</v>
      </c>
      <c r="M138" s="21">
        <f>Data!K138</f>
        <v>562.29999999999995</v>
      </c>
      <c r="N138" s="21">
        <f>Data!M138</f>
        <v>112.88140869140625</v>
      </c>
      <c r="O138" s="21">
        <f>Data!N138</f>
        <v>112.88140869140625</v>
      </c>
      <c r="P138" s="10">
        <f>Data!O138</f>
        <v>8.3000000000000001E-3</v>
      </c>
      <c r="Q138" s="10">
        <f t="shared" si="14"/>
        <v>0</v>
      </c>
      <c r="R138" s="10"/>
      <c r="S138" s="10"/>
      <c r="T138" s="19"/>
      <c r="W138" s="17"/>
      <c r="X138" s="16"/>
    </row>
    <row r="139" spans="1:24" x14ac:dyDescent="0.25">
      <c r="A139" s="7">
        <f>Data!A139</f>
        <v>202405</v>
      </c>
      <c r="B139" s="7">
        <v>71360</v>
      </c>
      <c r="C139" s="7">
        <f>Data!F139</f>
        <v>508034</v>
      </c>
      <c r="D139" s="7">
        <f>IF(Data!D139="Malawi", 1, 0)</f>
        <v>0</v>
      </c>
      <c r="E139" s="7">
        <f t="shared" si="10"/>
        <v>1</v>
      </c>
      <c r="F139" s="7">
        <f t="shared" si="11"/>
        <v>0</v>
      </c>
      <c r="G139" s="10">
        <f>Data!L139</f>
        <v>0.95436272373423903</v>
      </c>
      <c r="H139" s="10">
        <f t="shared" si="12"/>
        <v>0</v>
      </c>
      <c r="I139" s="10">
        <f>Data!H139</f>
        <v>1.1928200793594892</v>
      </c>
      <c r="J139" s="10">
        <f>Data!I139</f>
        <v>1.2073</v>
      </c>
      <c r="K139" s="10">
        <f t="shared" si="13"/>
        <v>1.1934809034980665</v>
      </c>
      <c r="L139" s="10">
        <f>Data!J139</f>
        <v>0.13457304239273071</v>
      </c>
      <c r="M139" s="21">
        <f>Data!K139</f>
        <v>562.29999999999995</v>
      </c>
      <c r="N139" s="21">
        <f>Data!M139</f>
        <v>130.52186584472656</v>
      </c>
      <c r="O139" s="21">
        <f>Data!N139</f>
        <v>130.52186584472656</v>
      </c>
      <c r="P139" s="10">
        <f>Data!O139</f>
        <v>6.6E-3</v>
      </c>
      <c r="Q139" s="10">
        <f t="shared" si="14"/>
        <v>0</v>
      </c>
      <c r="R139" s="10"/>
      <c r="S139" s="10"/>
      <c r="T139" s="19"/>
      <c r="W139" s="17"/>
      <c r="X139" s="16"/>
    </row>
    <row r="140" spans="1:24" x14ac:dyDescent="0.25">
      <c r="A140" s="7">
        <f>Data!A140</f>
        <v>202404</v>
      </c>
      <c r="B140" s="7">
        <v>71360</v>
      </c>
      <c r="C140" s="7">
        <f>Data!F140</f>
        <v>966905</v>
      </c>
      <c r="D140" s="7">
        <f>IF(Data!D140="Malawi", 1, 0)</f>
        <v>0</v>
      </c>
      <c r="E140" s="7">
        <f t="shared" si="10"/>
        <v>1</v>
      </c>
      <c r="F140" s="7">
        <f t="shared" si="11"/>
        <v>0</v>
      </c>
      <c r="G140" s="10">
        <f>Data!L140</f>
        <v>0.96839827013254398</v>
      </c>
      <c r="H140" s="10">
        <f t="shared" si="12"/>
        <v>0</v>
      </c>
      <c r="I140" s="10">
        <f>Data!H140</f>
        <v>1.197405572755418</v>
      </c>
      <c r="J140" s="10">
        <f>Data!I140</f>
        <v>1.1993</v>
      </c>
      <c r="K140" s="10">
        <f t="shared" si="13"/>
        <v>1.197465439933455</v>
      </c>
      <c r="L140" s="10">
        <f>Data!J140</f>
        <v>0.24681982398033142</v>
      </c>
      <c r="M140" s="21">
        <f>Data!K140</f>
        <v>562.29999999999995</v>
      </c>
      <c r="N140" s="21">
        <f>Data!M140</f>
        <v>163.73634338378906</v>
      </c>
      <c r="O140" s="21">
        <f>Data!N140</f>
        <v>163.73634338378906</v>
      </c>
      <c r="P140" s="10">
        <f>Data!O140</f>
        <v>1.32E-2</v>
      </c>
      <c r="Q140" s="10">
        <f t="shared" si="14"/>
        <v>0</v>
      </c>
      <c r="R140" s="10"/>
      <c r="S140" s="10"/>
      <c r="T140" s="19"/>
      <c r="W140" s="17"/>
      <c r="X140" s="16"/>
    </row>
    <row r="141" spans="1:24" x14ac:dyDescent="0.25">
      <c r="A141" s="7">
        <f>Data!A141</f>
        <v>202403</v>
      </c>
      <c r="B141" s="7">
        <v>71360</v>
      </c>
      <c r="C141" s="7">
        <f>Data!F141</f>
        <v>1241957</v>
      </c>
      <c r="D141" s="7">
        <f>IF(Data!D141="Malawi", 1, 0)</f>
        <v>0</v>
      </c>
      <c r="E141" s="7">
        <f t="shared" si="10"/>
        <v>1</v>
      </c>
      <c r="F141" s="7">
        <f t="shared" si="11"/>
        <v>0</v>
      </c>
      <c r="G141" s="10">
        <f>Data!L141</f>
        <v>0.93490093997682899</v>
      </c>
      <c r="H141" s="10">
        <f t="shared" si="12"/>
        <v>0</v>
      </c>
      <c r="I141" s="10">
        <f>Data!H141</f>
        <v>1.1535597187520319</v>
      </c>
      <c r="J141" s="10">
        <f>Data!I141</f>
        <v>1.1777</v>
      </c>
      <c r="K141" s="10">
        <f t="shared" si="13"/>
        <v>1.1551312283699697</v>
      </c>
      <c r="L141" s="10">
        <f>Data!J141</f>
        <v>0.23973444104194641</v>
      </c>
      <c r="M141" s="21">
        <f>Data!K141</f>
        <v>562.29999999999995</v>
      </c>
      <c r="N141" s="21">
        <f>Data!M141</f>
        <v>133.21316528320313</v>
      </c>
      <c r="O141" s="21">
        <f>Data!N141</f>
        <v>133.21316528320313</v>
      </c>
      <c r="P141" s="10">
        <f>Data!O141</f>
        <v>2.3E-2</v>
      </c>
      <c r="Q141" s="10">
        <f t="shared" si="14"/>
        <v>0</v>
      </c>
      <c r="R141" s="10"/>
      <c r="S141" s="10"/>
      <c r="T141" s="19"/>
      <c r="W141" s="17"/>
      <c r="X141" s="16"/>
    </row>
    <row r="142" spans="1:24" x14ac:dyDescent="0.25">
      <c r="A142" s="7">
        <f>Data!A142</f>
        <v>202402</v>
      </c>
      <c r="B142" s="7">
        <v>71360</v>
      </c>
      <c r="C142" s="7">
        <f>Data!F142</f>
        <v>1936261</v>
      </c>
      <c r="D142" s="7">
        <f>IF(Data!D142="Malawi", 1, 0)</f>
        <v>0</v>
      </c>
      <c r="E142" s="7">
        <f t="shared" si="10"/>
        <v>1</v>
      </c>
      <c r="F142" s="7">
        <f t="shared" si="11"/>
        <v>0</v>
      </c>
      <c r="G142" s="10">
        <f>Data!L142</f>
        <v>0.98057398385512096</v>
      </c>
      <c r="H142" s="10">
        <f t="shared" si="12"/>
        <v>0</v>
      </c>
      <c r="I142" s="10">
        <f>Data!H142</f>
        <v>1.0736367870648642</v>
      </c>
      <c r="J142" s="10">
        <f>Data!I142</f>
        <v>1.0805</v>
      </c>
      <c r="K142" s="10">
        <f t="shared" si="13"/>
        <v>1.0737701119501479</v>
      </c>
      <c r="L142" s="10">
        <f>Data!J142</f>
        <v>0.21592618525028229</v>
      </c>
      <c r="M142" s="21">
        <f>Data!K142</f>
        <v>562.29999999999995</v>
      </c>
      <c r="N142" s="21">
        <f>Data!M142</f>
        <v>146.59817504882813</v>
      </c>
      <c r="O142" s="21">
        <f>Data!N142</f>
        <v>146.59817504882813</v>
      </c>
      <c r="P142" s="10">
        <f>Data!O142</f>
        <v>3.7199999999999997E-2</v>
      </c>
      <c r="Q142" s="10">
        <f t="shared" si="14"/>
        <v>0</v>
      </c>
      <c r="R142" s="10"/>
      <c r="S142" s="10"/>
      <c r="T142" s="19"/>
      <c r="W142" s="17"/>
      <c r="X142" s="16"/>
    </row>
    <row r="143" spans="1:24" x14ac:dyDescent="0.25">
      <c r="A143" s="7">
        <f>Data!A143</f>
        <v>202401</v>
      </c>
      <c r="B143" s="7">
        <v>71360</v>
      </c>
      <c r="C143" s="7">
        <f>Data!F143</f>
        <v>5218992</v>
      </c>
      <c r="D143" s="7">
        <f>IF(Data!D143="Malawi", 1, 0)</f>
        <v>0</v>
      </c>
      <c r="E143" s="7">
        <f t="shared" si="10"/>
        <v>1</v>
      </c>
      <c r="F143" s="7">
        <f t="shared" si="11"/>
        <v>0</v>
      </c>
      <c r="G143" s="10">
        <f>Data!L143</f>
        <v>0.99183459845175503</v>
      </c>
      <c r="H143" s="10">
        <f t="shared" si="12"/>
        <v>0</v>
      </c>
      <c r="I143" s="10">
        <f>Data!H143</f>
        <v>1.0518789339707635</v>
      </c>
      <c r="J143" s="10">
        <f>Data!I143</f>
        <v>1.0483</v>
      </c>
      <c r="K143" s="10">
        <f t="shared" si="13"/>
        <v>1.0518497105377775</v>
      </c>
      <c r="L143" s="10">
        <f>Data!J143</f>
        <v>0.27558562159538269</v>
      </c>
      <c r="M143" s="21">
        <f>Data!K143</f>
        <v>562.29999999999995</v>
      </c>
      <c r="N143" s="21">
        <f>Data!M143</f>
        <v>160.16484069824219</v>
      </c>
      <c r="O143" s="21">
        <f>Data!N143</f>
        <v>160.16484069824219</v>
      </c>
      <c r="P143" s="10">
        <f>Data!O143</f>
        <v>0.1032</v>
      </c>
      <c r="Q143" s="10">
        <f t="shared" si="14"/>
        <v>0</v>
      </c>
      <c r="R143" s="10"/>
      <c r="S143" s="10"/>
      <c r="T143" s="19"/>
      <c r="W143" s="17"/>
      <c r="X143" s="16"/>
    </row>
    <row r="144" spans="1:24" x14ac:dyDescent="0.25">
      <c r="A144" s="7">
        <f>Data!A144</f>
        <v>202312</v>
      </c>
      <c r="B144" s="7">
        <v>71360</v>
      </c>
      <c r="C144" s="7">
        <f>Data!F144</f>
        <v>26136776</v>
      </c>
      <c r="D144" s="7">
        <f>IF(Data!D144="Malawi", 1, 0)</f>
        <v>0</v>
      </c>
      <c r="E144" s="7">
        <f t="shared" si="10"/>
        <v>1</v>
      </c>
      <c r="F144" s="7">
        <f t="shared" si="11"/>
        <v>0</v>
      </c>
      <c r="G144" s="10">
        <f>Data!L144</f>
        <v>0.99159190239164696</v>
      </c>
      <c r="H144" s="10">
        <f t="shared" si="12"/>
        <v>0</v>
      </c>
      <c r="I144" s="10">
        <f>Data!H144</f>
        <v>1.038211862656307</v>
      </c>
      <c r="J144" s="10">
        <f>Data!I144</f>
        <v>1.0397000000000001</v>
      </c>
      <c r="K144" s="10">
        <f t="shared" si="13"/>
        <v>1.0382243750603475</v>
      </c>
      <c r="L144" s="10">
        <f>Data!J144</f>
        <v>0.22528322041034698</v>
      </c>
      <c r="M144" s="21">
        <f>Data!K144</f>
        <v>578.5</v>
      </c>
      <c r="N144" s="21">
        <f>Data!M144</f>
        <v>142.27946472167969</v>
      </c>
      <c r="O144" s="21">
        <f>Data!N144</f>
        <v>142.27946472167969</v>
      </c>
      <c r="P144" s="10">
        <f>Data!O144</f>
        <v>0.30780000000000002</v>
      </c>
      <c r="Q144" s="10">
        <f t="shared" si="14"/>
        <v>0</v>
      </c>
      <c r="R144" s="10">
        <f>Data!Q144</f>
        <v>-0.05</v>
      </c>
      <c r="S144" s="10">
        <f>Data!P144</f>
        <v>-0.64</v>
      </c>
      <c r="T144" s="19"/>
      <c r="W144" s="17"/>
      <c r="X144" s="16"/>
    </row>
    <row r="145" spans="1:24" x14ac:dyDescent="0.25">
      <c r="A145" s="7">
        <f>Data!A145</f>
        <v>202311</v>
      </c>
      <c r="B145" s="7">
        <v>71360</v>
      </c>
      <c r="C145" s="7">
        <f>Data!F145</f>
        <v>74071055</v>
      </c>
      <c r="D145" s="7">
        <f>IF(Data!D145="Malawi", 1, 0)</f>
        <v>0</v>
      </c>
      <c r="E145" s="7">
        <f t="shared" si="10"/>
        <v>1</v>
      </c>
      <c r="F145" s="7">
        <f t="shared" si="11"/>
        <v>0</v>
      </c>
      <c r="G145" s="10">
        <f>Data!L145</f>
        <v>0.99994215348859605</v>
      </c>
      <c r="H145" s="10">
        <f t="shared" si="12"/>
        <v>0</v>
      </c>
      <c r="I145" s="10">
        <f>Data!H145</f>
        <v>1.0422003523197667</v>
      </c>
      <c r="J145" s="10">
        <f>Data!I145</f>
        <v>1.0422</v>
      </c>
      <c r="K145" s="10">
        <f t="shared" si="13"/>
        <v>1.0422003522993861</v>
      </c>
      <c r="L145" s="10">
        <f>Data!J145</f>
        <v>0.25032857060432434</v>
      </c>
      <c r="M145" s="21">
        <f>Data!K145</f>
        <v>578.5</v>
      </c>
      <c r="N145" s="21">
        <f>Data!M145</f>
        <v>156.69613647460938</v>
      </c>
      <c r="O145" s="21">
        <f>Data!N145</f>
        <v>156.69613647460938</v>
      </c>
      <c r="P145" s="10">
        <f>Data!O145</f>
        <v>0.67400000000000004</v>
      </c>
      <c r="Q145" s="10">
        <f t="shared" si="14"/>
        <v>0</v>
      </c>
      <c r="R145" s="10">
        <f>Data!Q145</f>
        <v>-0.05</v>
      </c>
      <c r="S145" s="10">
        <f>Data!P145</f>
        <v>-0.64</v>
      </c>
      <c r="T145" s="19"/>
      <c r="W145" s="17"/>
      <c r="X145" s="16"/>
    </row>
    <row r="146" spans="1:24" x14ac:dyDescent="0.25">
      <c r="A146" s="7">
        <f>Data!A146</f>
        <v>202310</v>
      </c>
      <c r="B146" s="7">
        <v>71360</v>
      </c>
      <c r="C146" s="7">
        <f>Data!F146</f>
        <v>43385030</v>
      </c>
      <c r="D146" s="7">
        <f>IF(Data!D146="Malawi", 1, 0)</f>
        <v>0</v>
      </c>
      <c r="E146" s="7">
        <f t="shared" si="10"/>
        <v>1</v>
      </c>
      <c r="F146" s="7">
        <f t="shared" si="11"/>
        <v>0</v>
      </c>
      <c r="G146" s="10">
        <f>Data!L146</f>
        <v>0.99859671766768299</v>
      </c>
      <c r="H146" s="10">
        <f t="shared" si="12"/>
        <v>0</v>
      </c>
      <c r="I146" s="10">
        <f>Data!H146</f>
        <v>1.0519878276472443</v>
      </c>
      <c r="J146" s="10">
        <f>Data!I146</f>
        <v>1.0525</v>
      </c>
      <c r="K146" s="10">
        <f t="shared" si="13"/>
        <v>1.0519885463696581</v>
      </c>
      <c r="L146" s="10">
        <f>Data!J146</f>
        <v>0.22093509137630463</v>
      </c>
      <c r="M146" s="21">
        <f>Data!K146</f>
        <v>578.5</v>
      </c>
      <c r="N146" s="21">
        <f>Data!M146</f>
        <v>197.88700866699219</v>
      </c>
      <c r="O146" s="21">
        <f>Data!N146</f>
        <v>197.88700866699219</v>
      </c>
      <c r="P146" s="10">
        <f>Data!O146</f>
        <v>0.25679999999999997</v>
      </c>
      <c r="Q146" s="10">
        <f t="shared" si="14"/>
        <v>0</v>
      </c>
      <c r="R146" s="10">
        <f>Data!Q146</f>
        <v>-0.05</v>
      </c>
      <c r="S146" s="10">
        <f>Data!P146</f>
        <v>-0.64</v>
      </c>
      <c r="T146" s="19"/>
      <c r="W146" s="17"/>
      <c r="X146" s="16"/>
    </row>
    <row r="147" spans="1:24" x14ac:dyDescent="0.25">
      <c r="A147" s="7">
        <f>Data!A147</f>
        <v>202309</v>
      </c>
      <c r="B147" s="7">
        <v>71360</v>
      </c>
      <c r="C147" s="7">
        <f>Data!F147</f>
        <v>22899916</v>
      </c>
      <c r="D147" s="7">
        <f>IF(Data!D147="Malawi", 1, 0)</f>
        <v>0</v>
      </c>
      <c r="E147" s="7">
        <f t="shared" si="10"/>
        <v>1</v>
      </c>
      <c r="F147" s="7">
        <f t="shared" si="11"/>
        <v>0</v>
      </c>
      <c r="G147" s="10">
        <f>Data!L147</f>
        <v>0.99352484079356795</v>
      </c>
      <c r="H147" s="10">
        <f t="shared" si="12"/>
        <v>0</v>
      </c>
      <c r="I147" s="10">
        <f>Data!H147</f>
        <v>1.0077103768146554</v>
      </c>
      <c r="J147" s="10">
        <f>Data!I147</f>
        <v>1.0099</v>
      </c>
      <c r="K147" s="10">
        <f t="shared" si="13"/>
        <v>1.0077245549733826</v>
      </c>
      <c r="L147" s="10">
        <f>Data!J147</f>
        <v>0.45979791879653931</v>
      </c>
      <c r="M147" s="21">
        <f>Data!K147</f>
        <v>578.5</v>
      </c>
      <c r="N147" s="21">
        <f>Data!M147</f>
        <v>98.634811401367188</v>
      </c>
      <c r="O147" s="21">
        <f>Data!N147</f>
        <v>98.634811401367188</v>
      </c>
      <c r="P147" s="10">
        <f>Data!O147</f>
        <v>0.33</v>
      </c>
      <c r="Q147" s="10">
        <f t="shared" si="14"/>
        <v>0</v>
      </c>
      <c r="R147" s="10">
        <f>Data!Q147</f>
        <v>-0.05</v>
      </c>
      <c r="S147" s="10">
        <f>Data!P147</f>
        <v>-0.64</v>
      </c>
      <c r="T147" s="19"/>
      <c r="W147" s="17"/>
      <c r="X147" s="16"/>
    </row>
    <row r="148" spans="1:24" x14ac:dyDescent="0.25">
      <c r="A148" s="7">
        <f>Data!A148</f>
        <v>202308</v>
      </c>
      <c r="B148" s="7">
        <v>71360</v>
      </c>
      <c r="C148" s="7">
        <f>Data!F148</f>
        <v>6738275</v>
      </c>
      <c r="D148" s="7">
        <f>IF(Data!D148="Malawi", 1, 0)</f>
        <v>0</v>
      </c>
      <c r="E148" s="7">
        <f t="shared" si="10"/>
        <v>1</v>
      </c>
      <c r="F148" s="7">
        <f t="shared" si="11"/>
        <v>0</v>
      </c>
      <c r="G148" s="10">
        <f>Data!L148</f>
        <v>0.99461104590198002</v>
      </c>
      <c r="H148" s="10">
        <f t="shared" si="12"/>
        <v>0</v>
      </c>
      <c r="I148" s="10">
        <f>Data!H148</f>
        <v>1.0005620321657616</v>
      </c>
      <c r="J148" s="10">
        <f>Data!I148</f>
        <v>1.0024</v>
      </c>
      <c r="K148" s="10">
        <f t="shared" si="13"/>
        <v>1.0005719368900539</v>
      </c>
      <c r="L148" s="10">
        <f>Data!J148</f>
        <v>0.31549569964408875</v>
      </c>
      <c r="M148" s="21">
        <f>Data!K148</f>
        <v>578.5</v>
      </c>
      <c r="N148" s="21">
        <f>Data!M148</f>
        <v>101.14118194580078</v>
      </c>
      <c r="O148" s="21">
        <f>Data!N148</f>
        <v>101.14118194580078</v>
      </c>
      <c r="P148" s="10">
        <f>Data!O148</f>
        <v>0.15060000000000001</v>
      </c>
      <c r="Q148" s="10">
        <f t="shared" si="14"/>
        <v>0</v>
      </c>
      <c r="R148" s="10">
        <f>Data!Q148</f>
        <v>-0.05</v>
      </c>
      <c r="S148" s="10">
        <f>Data!P148</f>
        <v>-0.64</v>
      </c>
      <c r="T148" s="19"/>
      <c r="W148" s="17"/>
      <c r="X148" s="16"/>
    </row>
    <row r="149" spans="1:24" x14ac:dyDescent="0.25">
      <c r="A149" s="7">
        <f>Data!A149</f>
        <v>202307</v>
      </c>
      <c r="B149" s="7">
        <v>71360</v>
      </c>
      <c r="C149" s="7">
        <f>Data!F149</f>
        <v>1883390</v>
      </c>
      <c r="D149" s="7">
        <f>IF(Data!D149="Malawi", 1, 0)</f>
        <v>0</v>
      </c>
      <c r="E149" s="7">
        <f t="shared" si="10"/>
        <v>1</v>
      </c>
      <c r="F149" s="7">
        <f t="shared" si="11"/>
        <v>0</v>
      </c>
      <c r="G149" s="10">
        <f>Data!L149</f>
        <v>0.97497428474846104</v>
      </c>
      <c r="H149" s="10">
        <f t="shared" si="12"/>
        <v>0</v>
      </c>
      <c r="I149" s="10">
        <f>Data!H149</f>
        <v>1.0079959324573844</v>
      </c>
      <c r="J149" s="10">
        <f>Data!I149</f>
        <v>1.0137</v>
      </c>
      <c r="K149" s="10">
        <f t="shared" si="13"/>
        <v>1.0081386808274815</v>
      </c>
      <c r="L149" s="10">
        <f>Data!J149</f>
        <v>0.21112766861915588</v>
      </c>
      <c r="M149" s="21">
        <f>Data!K149</f>
        <v>578.5</v>
      </c>
      <c r="N149" s="21">
        <f>Data!M149</f>
        <v>107.44878387451172</v>
      </c>
      <c r="O149" s="21">
        <f>Data!N149</f>
        <v>107.44878387451172</v>
      </c>
      <c r="P149" s="10">
        <f>Data!O149</f>
        <v>8.1000000000000003E-2</v>
      </c>
      <c r="Q149" s="10">
        <f t="shared" si="14"/>
        <v>0</v>
      </c>
      <c r="R149" s="10">
        <f>Data!Q149</f>
        <v>-0.05</v>
      </c>
      <c r="S149" s="10">
        <f>Data!P149</f>
        <v>-0.64</v>
      </c>
      <c r="T149" s="19"/>
      <c r="W149" s="17"/>
      <c r="X149" s="16"/>
    </row>
    <row r="150" spans="1:24" x14ac:dyDescent="0.25">
      <c r="A150" s="7">
        <f>Data!A150</f>
        <v>202306</v>
      </c>
      <c r="B150" s="7">
        <v>71360</v>
      </c>
      <c r="C150" s="7">
        <f>Data!F150</f>
        <v>1021944</v>
      </c>
      <c r="D150" s="7">
        <f>IF(Data!D150="Malawi", 1, 0)</f>
        <v>0</v>
      </c>
      <c r="E150" s="7">
        <f t="shared" si="10"/>
        <v>1</v>
      </c>
      <c r="F150" s="7">
        <f t="shared" si="11"/>
        <v>0</v>
      </c>
      <c r="G150" s="10">
        <f>Data!L150</f>
        <v>0.85757874296570602</v>
      </c>
      <c r="H150" s="10">
        <f t="shared" si="12"/>
        <v>0</v>
      </c>
      <c r="I150" s="10">
        <f>Data!H150</f>
        <v>0.95498074982244985</v>
      </c>
      <c r="J150" s="10">
        <f>Data!I150</f>
        <v>0.95220000000000005</v>
      </c>
      <c r="K150" s="10">
        <f t="shared" si="13"/>
        <v>0.95458471193723859</v>
      </c>
      <c r="L150" s="10">
        <f>Data!J150</f>
        <v>0.26301303505897522</v>
      </c>
      <c r="M150" s="21">
        <f>Data!K150</f>
        <v>578.5</v>
      </c>
      <c r="N150" s="21">
        <f>Data!M150</f>
        <v>110.52894592285156</v>
      </c>
      <c r="O150" s="21">
        <f>Data!N150</f>
        <v>110.52894592285156</v>
      </c>
      <c r="P150" s="10">
        <f>Data!O150</f>
        <v>3.2500000000000001E-2</v>
      </c>
      <c r="Q150" s="10">
        <f t="shared" si="14"/>
        <v>0</v>
      </c>
      <c r="R150" s="10">
        <f>Data!Q150</f>
        <v>-0.05</v>
      </c>
      <c r="S150" s="10">
        <f>Data!P150</f>
        <v>-0.64</v>
      </c>
      <c r="T150" s="19"/>
      <c r="W150" s="17"/>
      <c r="X150" s="16"/>
    </row>
    <row r="151" spans="1:24" x14ac:dyDescent="0.25">
      <c r="A151" s="7">
        <f>Data!A151</f>
        <v>202305</v>
      </c>
      <c r="B151" s="7">
        <v>71360</v>
      </c>
      <c r="C151" s="7">
        <f>Data!F151</f>
        <v>458083</v>
      </c>
      <c r="D151" s="7">
        <f>IF(Data!D151="Malawi", 1, 0)</f>
        <v>0</v>
      </c>
      <c r="E151" s="7">
        <f t="shared" si="10"/>
        <v>1</v>
      </c>
      <c r="F151" s="7">
        <f t="shared" si="11"/>
        <v>0</v>
      </c>
      <c r="G151" s="10">
        <f>Data!L151</f>
        <v>0.45351609294405298</v>
      </c>
      <c r="H151" s="10">
        <f t="shared" si="12"/>
        <v>0</v>
      </c>
      <c r="I151" s="10">
        <f>Data!H151</f>
        <v>0.92781941181236327</v>
      </c>
      <c r="J151" s="10">
        <f>Data!I151</f>
        <v>0.55640000000000001</v>
      </c>
      <c r="K151" s="10">
        <f t="shared" si="13"/>
        <v>0.72484468048872119</v>
      </c>
      <c r="L151" s="10">
        <f>Data!J151</f>
        <v>0.31503695249557495</v>
      </c>
      <c r="M151" s="21">
        <f>Data!K151</f>
        <v>578.5</v>
      </c>
      <c r="N151" s="21">
        <f>Data!M151</f>
        <v>108.46768188476563</v>
      </c>
      <c r="O151" s="21">
        <f>Data!N151</f>
        <v>108.46768188476563</v>
      </c>
      <c r="P151" s="10">
        <f>Data!O151</f>
        <v>1.2699999999999999E-2</v>
      </c>
      <c r="Q151" s="10">
        <f t="shared" si="14"/>
        <v>0</v>
      </c>
      <c r="R151" s="10">
        <f>Data!Q151</f>
        <v>-0.05</v>
      </c>
      <c r="S151" s="10">
        <f>Data!P151</f>
        <v>-0.64</v>
      </c>
      <c r="T151" s="19"/>
      <c r="W151" s="17"/>
      <c r="X151" s="16"/>
    </row>
    <row r="152" spans="1:24" x14ac:dyDescent="0.25">
      <c r="A152" s="7">
        <f>Data!A152</f>
        <v>202304</v>
      </c>
      <c r="B152" s="7">
        <v>71360</v>
      </c>
      <c r="C152" s="7">
        <f>Data!F152</f>
        <v>954437</v>
      </c>
      <c r="D152" s="7">
        <f>IF(Data!D152="Malawi", 1, 0)</f>
        <v>0</v>
      </c>
      <c r="E152" s="7">
        <f t="shared" si="10"/>
        <v>1</v>
      </c>
      <c r="F152" s="7">
        <f t="shared" si="11"/>
        <v>0</v>
      </c>
      <c r="G152" s="10">
        <f>Data!L152</f>
        <v>0.77860470048864805</v>
      </c>
      <c r="H152" s="10">
        <f t="shared" si="12"/>
        <v>0</v>
      </c>
      <c r="I152" s="10">
        <f>Data!H152</f>
        <v>0.79352583182294356</v>
      </c>
      <c r="J152" s="10">
        <f>Data!I152</f>
        <v>0.67069999999999996</v>
      </c>
      <c r="K152" s="10">
        <f t="shared" si="13"/>
        <v>0.76633276999877209</v>
      </c>
      <c r="L152" s="10">
        <f>Data!J152</f>
        <v>0.24643319845199585</v>
      </c>
      <c r="M152" s="21">
        <f>Data!K152</f>
        <v>578.5</v>
      </c>
      <c r="N152" s="21">
        <f>Data!M152</f>
        <v>106.80965423583984</v>
      </c>
      <c r="O152" s="21">
        <f>Data!N152</f>
        <v>106.80965423583984</v>
      </c>
      <c r="P152" s="10">
        <f>Data!O152</f>
        <v>1.37E-2</v>
      </c>
      <c r="Q152" s="10">
        <f t="shared" si="14"/>
        <v>0</v>
      </c>
      <c r="R152" s="10">
        <f>Data!Q152</f>
        <v>-0.05</v>
      </c>
      <c r="S152" s="10">
        <f>Data!P152</f>
        <v>-0.64</v>
      </c>
      <c r="T152" s="19"/>
      <c r="W152" s="17"/>
      <c r="X152" s="16"/>
    </row>
    <row r="153" spans="1:24" x14ac:dyDescent="0.25">
      <c r="A153" s="7">
        <f>Data!A153</f>
        <v>202303</v>
      </c>
      <c r="B153" s="7">
        <v>71360</v>
      </c>
      <c r="C153" s="7">
        <f>Data!F153</f>
        <v>1503176</v>
      </c>
      <c r="D153" s="7">
        <f>IF(Data!D153="Malawi", 1, 0)</f>
        <v>0</v>
      </c>
      <c r="E153" s="7">
        <f t="shared" si="10"/>
        <v>1</v>
      </c>
      <c r="F153" s="7">
        <f t="shared" si="11"/>
        <v>0</v>
      </c>
      <c r="G153" s="10">
        <f>Data!L153</f>
        <v>0.80613988938460002</v>
      </c>
      <c r="H153" s="10">
        <f t="shared" si="12"/>
        <v>0</v>
      </c>
      <c r="I153" s="10">
        <f>Data!H153</f>
        <v>0.73286691466488552</v>
      </c>
      <c r="J153" s="10">
        <f>Data!I153</f>
        <v>0.68379999999999996</v>
      </c>
      <c r="K153" s="10">
        <f t="shared" si="13"/>
        <v>0.72335479716039441</v>
      </c>
      <c r="L153" s="10">
        <f>Data!J153</f>
        <v>0.30663993954658508</v>
      </c>
      <c r="M153" s="21">
        <f>Data!K153</f>
        <v>578.5</v>
      </c>
      <c r="N153" s="21">
        <f>Data!M153</f>
        <v>105.37997436523438</v>
      </c>
      <c r="O153" s="21">
        <f>Data!N153</f>
        <v>105.37997436523438</v>
      </c>
      <c r="P153" s="10">
        <f>Data!O153</f>
        <v>2.5700000000000001E-2</v>
      </c>
      <c r="Q153" s="10">
        <f t="shared" si="14"/>
        <v>0</v>
      </c>
      <c r="R153" s="10">
        <f>Data!Q153</f>
        <v>-0.05</v>
      </c>
      <c r="S153" s="10">
        <f>Data!P153</f>
        <v>-0.64</v>
      </c>
      <c r="T153" s="19"/>
      <c r="W153" s="17"/>
      <c r="X153" s="16"/>
    </row>
    <row r="154" spans="1:24" x14ac:dyDescent="0.25">
      <c r="A154" s="7">
        <f>Data!A154</f>
        <v>202302</v>
      </c>
      <c r="B154" s="7">
        <v>71360</v>
      </c>
      <c r="C154" s="7">
        <f>Data!F154</f>
        <v>478744</v>
      </c>
      <c r="D154" s="7">
        <f>IF(Data!D154="Malawi", 1, 0)</f>
        <v>0</v>
      </c>
      <c r="E154" s="7">
        <f t="shared" si="10"/>
        <v>1</v>
      </c>
      <c r="F154" s="7">
        <f t="shared" si="11"/>
        <v>0</v>
      </c>
      <c r="G154" s="10">
        <f>Data!L154</f>
        <v>0.582750372782325</v>
      </c>
      <c r="H154" s="10">
        <f t="shared" si="12"/>
        <v>0</v>
      </c>
      <c r="I154" s="10">
        <f>Data!H154</f>
        <v>0.66882369376920925</v>
      </c>
      <c r="J154" s="10">
        <f>Data!I154</f>
        <v>0.61280000000000001</v>
      </c>
      <c r="K154" s="10">
        <f t="shared" si="13"/>
        <v>0.64544782842864956</v>
      </c>
      <c r="L154" s="10">
        <f>Data!J154</f>
        <v>0.29352903366088867</v>
      </c>
      <c r="M154" s="21">
        <f>Data!K154</f>
        <v>578.5</v>
      </c>
      <c r="N154" s="21">
        <f>Data!M154</f>
        <v>120.99437713623047</v>
      </c>
      <c r="O154" s="21">
        <f>Data!N154</f>
        <v>120.99437713623047</v>
      </c>
      <c r="P154" s="10">
        <f>Data!O154</f>
        <v>7.3000000000000001E-3</v>
      </c>
      <c r="Q154" s="10">
        <f t="shared" si="14"/>
        <v>0</v>
      </c>
      <c r="R154" s="10">
        <f>Data!Q154</f>
        <v>-0.05</v>
      </c>
      <c r="S154" s="10">
        <f>Data!P154</f>
        <v>-0.64</v>
      </c>
      <c r="T154" s="19"/>
      <c r="W154" s="17"/>
      <c r="X154" s="16"/>
    </row>
    <row r="155" spans="1:24" x14ac:dyDescent="0.25">
      <c r="A155" s="7">
        <f>Data!A155</f>
        <v>202301</v>
      </c>
      <c r="B155" s="7">
        <v>71360</v>
      </c>
      <c r="C155" s="7">
        <f>Data!F155</f>
        <v>680899</v>
      </c>
      <c r="D155" s="7">
        <f>IF(Data!D155="Malawi", 1, 0)</f>
        <v>0</v>
      </c>
      <c r="E155" s="7">
        <f t="shared" si="10"/>
        <v>1</v>
      </c>
      <c r="F155" s="7">
        <f t="shared" si="11"/>
        <v>0</v>
      </c>
      <c r="G155" s="10">
        <f>Data!L155</f>
        <v>0.59823752937817098</v>
      </c>
      <c r="H155" s="10">
        <f t="shared" si="12"/>
        <v>0</v>
      </c>
      <c r="I155" s="10">
        <f>Data!H155</f>
        <v>0.67996065429707009</v>
      </c>
      <c r="J155" s="10">
        <f>Data!I155</f>
        <v>0.5806</v>
      </c>
      <c r="K155" s="10">
        <f t="shared" si="13"/>
        <v>0.64004127234407771</v>
      </c>
      <c r="L155" s="10">
        <f>Data!J155</f>
        <v>0.19585543870925903</v>
      </c>
      <c r="M155" s="21">
        <f>Data!K155</f>
        <v>578.5</v>
      </c>
      <c r="N155" s="21">
        <f>Data!M155</f>
        <v>104.26704406738281</v>
      </c>
      <c r="O155" s="21">
        <f>Data!N155</f>
        <v>104.26704406738281</v>
      </c>
      <c r="P155" s="10">
        <f>Data!O155</f>
        <v>9.7000000000000003E-3</v>
      </c>
      <c r="Q155" s="10">
        <f t="shared" si="14"/>
        <v>0</v>
      </c>
      <c r="R155" s="10">
        <f>Data!Q155</f>
        <v>-0.05</v>
      </c>
      <c r="S155" s="10">
        <f>Data!P155</f>
        <v>-0.64</v>
      </c>
      <c r="T155" s="19"/>
      <c r="W155" s="17"/>
      <c r="X155" s="16"/>
    </row>
    <row r="156" spans="1:24" x14ac:dyDescent="0.25">
      <c r="A156" s="7">
        <f>Data!A156</f>
        <v>202212</v>
      </c>
      <c r="B156" s="7">
        <v>71360</v>
      </c>
      <c r="C156" s="7">
        <f>Data!F156</f>
        <v>12673292</v>
      </c>
      <c r="D156" s="7">
        <f>IF(Data!D156="Malawi", 1, 0)</f>
        <v>0</v>
      </c>
      <c r="E156" s="7">
        <f t="shared" si="10"/>
        <v>1</v>
      </c>
      <c r="F156" s="7">
        <f t="shared" si="11"/>
        <v>0</v>
      </c>
      <c r="G156" s="10">
        <f>Data!L156</f>
        <v>0.96109807608114595</v>
      </c>
      <c r="H156" s="10">
        <f t="shared" si="12"/>
        <v>0</v>
      </c>
      <c r="I156" s="10">
        <f>Data!H156</f>
        <v>0.67267647199324843</v>
      </c>
      <c r="J156" s="10">
        <f>Data!I156</f>
        <v>0.66069999999999995</v>
      </c>
      <c r="K156" s="10">
        <f t="shared" si="13"/>
        <v>0.67221056419095071</v>
      </c>
      <c r="L156" s="10">
        <f>Data!J156</f>
        <v>0.24796974658966064</v>
      </c>
      <c r="M156" s="21">
        <f>Data!K156</f>
        <v>570.6</v>
      </c>
      <c r="N156" s="21">
        <f>Data!M156</f>
        <v>111.19593811035156</v>
      </c>
      <c r="O156" s="21">
        <f>Data!N156</f>
        <v>111.19593811035156</v>
      </c>
      <c r="P156" s="10">
        <f>Data!O156</f>
        <v>9.4500000000000001E-2</v>
      </c>
      <c r="Q156" s="10">
        <f t="shared" si="14"/>
        <v>0</v>
      </c>
      <c r="R156" s="10">
        <f>Data!Q156</f>
        <v>-0.26</v>
      </c>
      <c r="S156" s="10">
        <f>Data!P156</f>
        <v>-0.62</v>
      </c>
      <c r="T156" s="19"/>
      <c r="W156" s="17"/>
      <c r="X156" s="16"/>
    </row>
    <row r="157" spans="1:24" x14ac:dyDescent="0.25">
      <c r="A157" s="7">
        <f>Data!A157</f>
        <v>202211</v>
      </c>
      <c r="B157" s="7">
        <v>71360</v>
      </c>
      <c r="C157" s="7">
        <f>Data!F157</f>
        <v>20859030</v>
      </c>
      <c r="D157" s="7">
        <f>IF(Data!D157="Malawi", 1, 0)</f>
        <v>0</v>
      </c>
      <c r="E157" s="7">
        <f t="shared" si="10"/>
        <v>1</v>
      </c>
      <c r="F157" s="7">
        <f t="shared" si="11"/>
        <v>0</v>
      </c>
      <c r="G157" s="10">
        <f>Data!L157</f>
        <v>0.97369146306419496</v>
      </c>
      <c r="H157" s="10">
        <f t="shared" si="12"/>
        <v>0</v>
      </c>
      <c r="I157" s="10">
        <f>Data!H157</f>
        <v>0.66311558012595329</v>
      </c>
      <c r="J157" s="10">
        <f>Data!I157</f>
        <v>0.65720000000000001</v>
      </c>
      <c r="K157" s="10">
        <f t="shared" si="13"/>
        <v>0.66295994986771301</v>
      </c>
      <c r="L157" s="10">
        <f>Data!J157</f>
        <v>0.29648211598396301</v>
      </c>
      <c r="M157" s="21">
        <f>Data!K157</f>
        <v>570.6</v>
      </c>
      <c r="N157" s="21">
        <f>Data!M157</f>
        <v>116.71628570556641</v>
      </c>
      <c r="O157" s="21">
        <f>Data!N157</f>
        <v>116.71628570556641</v>
      </c>
      <c r="P157" s="10">
        <f>Data!O157</f>
        <v>0.18459999999999999</v>
      </c>
      <c r="Q157" s="10">
        <f t="shared" si="14"/>
        <v>0</v>
      </c>
      <c r="R157" s="10">
        <f>Data!Q157</f>
        <v>-0.26</v>
      </c>
      <c r="S157" s="10">
        <f>Data!P157</f>
        <v>-0.62</v>
      </c>
      <c r="T157" s="19"/>
      <c r="W157" s="17"/>
      <c r="X157" s="16"/>
    </row>
    <row r="158" spans="1:24" x14ac:dyDescent="0.25">
      <c r="A158" s="7">
        <f>Data!A158</f>
        <v>202210</v>
      </c>
      <c r="B158" s="7">
        <v>71360</v>
      </c>
      <c r="C158" s="7">
        <f>Data!F158</f>
        <v>20303499</v>
      </c>
      <c r="D158" s="7">
        <f>IF(Data!D158="Malawi", 1, 0)</f>
        <v>0</v>
      </c>
      <c r="E158" s="7">
        <f t="shared" si="10"/>
        <v>1</v>
      </c>
      <c r="F158" s="7">
        <f t="shared" si="11"/>
        <v>0</v>
      </c>
      <c r="G158" s="10">
        <f>Data!L158</f>
        <v>0.97404754566967999</v>
      </c>
      <c r="H158" s="10">
        <f t="shared" si="12"/>
        <v>0</v>
      </c>
      <c r="I158" s="10">
        <f>Data!H158</f>
        <v>0.63498240807633488</v>
      </c>
      <c r="J158" s="10">
        <f>Data!I158</f>
        <v>0.62170000000000003</v>
      </c>
      <c r="K158" s="10">
        <f t="shared" si="13"/>
        <v>0.63463769698733719</v>
      </c>
      <c r="L158" s="10">
        <f>Data!J158</f>
        <v>0.30671361088752747</v>
      </c>
      <c r="M158" s="21">
        <f>Data!K158</f>
        <v>570.6</v>
      </c>
      <c r="N158" s="21">
        <f>Data!M158</f>
        <v>143.16241455078125</v>
      </c>
      <c r="O158" s="21">
        <f>Data!N158</f>
        <v>143.16241455078125</v>
      </c>
      <c r="P158" s="10">
        <f>Data!O158</f>
        <v>0.26950000000000002</v>
      </c>
      <c r="Q158" s="10">
        <f t="shared" si="14"/>
        <v>0</v>
      </c>
      <c r="R158" s="10">
        <f>Data!Q158</f>
        <v>-0.26</v>
      </c>
      <c r="S158" s="10">
        <f>Data!P158</f>
        <v>-0.62</v>
      </c>
      <c r="T158" s="19"/>
    </row>
    <row r="159" spans="1:24" x14ac:dyDescent="0.25">
      <c r="A159" s="7">
        <f>Data!A159</f>
        <v>202209</v>
      </c>
      <c r="B159" s="7">
        <v>71360</v>
      </c>
      <c r="C159" s="7">
        <f>Data!F159</f>
        <v>7783967</v>
      </c>
      <c r="D159" s="7">
        <f>IF(Data!D159="Malawi", 1, 0)</f>
        <v>0</v>
      </c>
      <c r="E159" s="7">
        <f t="shared" si="10"/>
        <v>1</v>
      </c>
      <c r="F159" s="7">
        <f t="shared" si="11"/>
        <v>0</v>
      </c>
      <c r="G159" s="10">
        <f>Data!L159</f>
        <v>0.95938377818617704</v>
      </c>
      <c r="H159" s="10">
        <f t="shared" si="12"/>
        <v>0</v>
      </c>
      <c r="I159" s="10">
        <f>Data!H159</f>
        <v>0.69074159197799267</v>
      </c>
      <c r="J159" s="10">
        <f>Data!I159</f>
        <v>0.64749999999999996</v>
      </c>
      <c r="K159" s="10">
        <f t="shared" si="13"/>
        <v>0.68898528188663166</v>
      </c>
      <c r="L159" s="10">
        <f>Data!J159</f>
        <v>0.50662738084793091</v>
      </c>
      <c r="M159" s="21">
        <f>Data!K159</f>
        <v>570.6</v>
      </c>
      <c r="N159" s="21">
        <f>Data!M159</f>
        <v>131.98587036132813</v>
      </c>
      <c r="O159" s="21">
        <f>Data!N159</f>
        <v>131.98587036132813</v>
      </c>
      <c r="P159" s="10">
        <f>Data!O159</f>
        <v>0.18959999999999999</v>
      </c>
      <c r="Q159" s="10">
        <f t="shared" si="14"/>
        <v>0</v>
      </c>
      <c r="R159" s="10">
        <f>Data!Q159</f>
        <v>-0.26</v>
      </c>
      <c r="S159" s="10">
        <f>Data!P159</f>
        <v>-0.62</v>
      </c>
      <c r="T159" s="19"/>
    </row>
    <row r="160" spans="1:24" x14ac:dyDescent="0.25">
      <c r="A160" s="7">
        <f>Data!A160</f>
        <v>202208</v>
      </c>
      <c r="B160" s="7">
        <v>71360</v>
      </c>
      <c r="C160" s="7">
        <f>Data!F160</f>
        <v>916089</v>
      </c>
      <c r="D160" s="7">
        <f>IF(Data!D160="Malawi", 1, 0)</f>
        <v>0</v>
      </c>
      <c r="E160" s="7">
        <f t="shared" si="10"/>
        <v>1</v>
      </c>
      <c r="F160" s="7">
        <f t="shared" si="11"/>
        <v>0</v>
      </c>
      <c r="G160" s="10">
        <f>Data!L160</f>
        <v>0.85577324585863701</v>
      </c>
      <c r="H160" s="10">
        <f t="shared" si="12"/>
        <v>0</v>
      </c>
      <c r="I160" s="10">
        <f>Data!H160</f>
        <v>0.74282505574700997</v>
      </c>
      <c r="J160" s="10">
        <f>Data!I160</f>
        <v>0.58109999999999995</v>
      </c>
      <c r="K160" s="10">
        <f t="shared" si="13"/>
        <v>0.71949997589328774</v>
      </c>
      <c r="L160" s="10">
        <f>Data!J160</f>
        <v>0.24869729578495026</v>
      </c>
      <c r="M160" s="21">
        <f>Data!K160</f>
        <v>570.6</v>
      </c>
      <c r="N160" s="21">
        <f>Data!M160</f>
        <v>132.86322021484375</v>
      </c>
      <c r="O160" s="21">
        <f>Data!N160</f>
        <v>132.86322021484375</v>
      </c>
      <c r="P160" s="10">
        <f>Data!O160</f>
        <v>5.2400000000000002E-2</v>
      </c>
      <c r="Q160" s="10">
        <f t="shared" si="14"/>
        <v>0</v>
      </c>
      <c r="R160" s="10">
        <f>Data!Q160</f>
        <v>-0.26</v>
      </c>
      <c r="S160" s="10">
        <f>Data!P160</f>
        <v>-0.62</v>
      </c>
      <c r="T160" s="19"/>
    </row>
    <row r="161" spans="1:20" x14ac:dyDescent="0.25">
      <c r="A161" s="7">
        <f>Data!A161</f>
        <v>202207</v>
      </c>
      <c r="B161" s="7">
        <v>71360</v>
      </c>
      <c r="C161" s="7">
        <f>Data!F161</f>
        <v>290747</v>
      </c>
      <c r="D161" s="7">
        <f>IF(Data!D161="Malawi", 1, 0)</f>
        <v>0</v>
      </c>
      <c r="E161" s="7">
        <f t="shared" si="10"/>
        <v>1</v>
      </c>
      <c r="F161" s="7">
        <f t="shared" si="11"/>
        <v>0</v>
      </c>
      <c r="G161" s="10">
        <f>Data!L161</f>
        <v>0.54702898577992098</v>
      </c>
      <c r="H161" s="10">
        <f t="shared" si="12"/>
        <v>0</v>
      </c>
      <c r="I161" s="10">
        <f>Data!H161</f>
        <v>0.69358578605609811</v>
      </c>
      <c r="J161" s="10">
        <f>Data!I161</f>
        <v>0.46860000000000002</v>
      </c>
      <c r="K161" s="10">
        <f t="shared" si="13"/>
        <v>0.59167374636116565</v>
      </c>
      <c r="L161" s="10">
        <f>Data!J161</f>
        <v>0.27303358912467957</v>
      </c>
      <c r="M161" s="21">
        <f>Data!K161</f>
        <v>570.6</v>
      </c>
      <c r="N161" s="21">
        <f>Data!M161</f>
        <v>117.17676544189453</v>
      </c>
      <c r="O161" s="21">
        <f>Data!N161</f>
        <v>117.17676544189453</v>
      </c>
      <c r="P161" s="10">
        <f>Data!O161</f>
        <v>6.0100000000000001E-2</v>
      </c>
      <c r="Q161" s="10">
        <f t="shared" si="14"/>
        <v>0</v>
      </c>
      <c r="R161" s="10">
        <f>Data!Q161</f>
        <v>-0.26</v>
      </c>
      <c r="S161" s="10">
        <f>Data!P161</f>
        <v>-0.62</v>
      </c>
      <c r="T161" s="19"/>
    </row>
    <row r="162" spans="1:20" x14ac:dyDescent="0.25">
      <c r="A162" s="7">
        <f>Data!A162</f>
        <v>202206</v>
      </c>
      <c r="B162" s="7">
        <v>71360</v>
      </c>
      <c r="C162" s="7">
        <f>Data!F162</f>
        <v>15006</v>
      </c>
      <c r="D162" s="7">
        <f>IF(Data!D162="Malawi", 1, 0)</f>
        <v>0</v>
      </c>
      <c r="E162" s="7">
        <f t="shared" si="10"/>
        <v>1</v>
      </c>
      <c r="F162" s="7">
        <f t="shared" si="11"/>
        <v>0</v>
      </c>
      <c r="G162" s="10">
        <f>Data!L162</f>
        <v>9.2054007962555098E-2</v>
      </c>
      <c r="H162" s="10">
        <f t="shared" si="12"/>
        <v>0</v>
      </c>
      <c r="I162" s="10">
        <f>Data!H162</f>
        <v>0.62524999999999997</v>
      </c>
      <c r="J162" s="10">
        <f>Data!I162</f>
        <v>0.2596</v>
      </c>
      <c r="K162" s="10">
        <f t="shared" si="13"/>
        <v>0.29325954801150828</v>
      </c>
      <c r="L162" s="10">
        <f>Data!J162</f>
        <v>0.37673652172088623</v>
      </c>
      <c r="M162" s="21">
        <f>Data!K162</f>
        <v>570.6</v>
      </c>
      <c r="N162" s="21">
        <f>Data!M162</f>
        <v>130.70732116699219</v>
      </c>
      <c r="O162" s="21">
        <f>Data!N162</f>
        <v>130.70732116699219</v>
      </c>
      <c r="P162" s="10">
        <f>Data!O162</f>
        <v>1.5E-3</v>
      </c>
      <c r="Q162" s="10">
        <f t="shared" si="14"/>
        <v>0</v>
      </c>
      <c r="R162" s="10">
        <f>Data!Q162</f>
        <v>-0.26</v>
      </c>
      <c r="S162" s="10">
        <f>Data!P162</f>
        <v>-0.62</v>
      </c>
      <c r="T162" s="19"/>
    </row>
    <row r="163" spans="1:20" x14ac:dyDescent="0.25">
      <c r="A163" s="7">
        <f>Data!A163</f>
        <v>202204</v>
      </c>
      <c r="B163" s="7">
        <v>71360</v>
      </c>
      <c r="C163" s="7">
        <f>Data!F163</f>
        <v>264490</v>
      </c>
      <c r="D163" s="7">
        <f>IF(Data!D163="Malawi", 1, 0)</f>
        <v>0</v>
      </c>
      <c r="E163" s="7">
        <f t="shared" si="10"/>
        <v>1</v>
      </c>
      <c r="F163" s="7">
        <f t="shared" si="11"/>
        <v>0</v>
      </c>
      <c r="G163" s="10">
        <f>Data!L163</f>
        <v>0.57486203876172803</v>
      </c>
      <c r="H163" s="10">
        <f t="shared" si="12"/>
        <v>0</v>
      </c>
      <c r="I163" s="10">
        <f>Data!H163</f>
        <v>0.64509756097560977</v>
      </c>
      <c r="J163" s="10">
        <f>Data!I163</f>
        <v>0.45379999999999998</v>
      </c>
      <c r="K163" s="10">
        <f t="shared" si="13"/>
        <v>0.56376970591258502</v>
      </c>
      <c r="L163" s="10">
        <f>Data!J163</f>
        <v>0.41409075260162354</v>
      </c>
      <c r="M163" s="21">
        <f>Data!K163</f>
        <v>570.6</v>
      </c>
      <c r="N163" s="21">
        <f>Data!M163</f>
        <v>191.14309692382813</v>
      </c>
      <c r="O163" s="21">
        <f>Data!N163</f>
        <v>191.14309692382813</v>
      </c>
      <c r="P163" s="10">
        <f>Data!O163</f>
        <v>6.6E-3</v>
      </c>
      <c r="Q163" s="10">
        <f t="shared" si="14"/>
        <v>0</v>
      </c>
      <c r="R163" s="10">
        <f>Data!Q163</f>
        <v>-0.26</v>
      </c>
      <c r="S163" s="10">
        <f>Data!P163</f>
        <v>-0.62</v>
      </c>
      <c r="T163" s="19"/>
    </row>
    <row r="164" spans="1:20" x14ac:dyDescent="0.25">
      <c r="A164" s="7">
        <f>Data!A164</f>
        <v>202203</v>
      </c>
      <c r="B164" s="7">
        <v>71360</v>
      </c>
      <c r="C164" s="7">
        <f>Data!F164</f>
        <v>705987</v>
      </c>
      <c r="D164" s="7">
        <f>IF(Data!D164="Malawi", 1, 0)</f>
        <v>0</v>
      </c>
      <c r="E164" s="7">
        <f t="shared" si="10"/>
        <v>1</v>
      </c>
      <c r="F164" s="7">
        <f t="shared" si="11"/>
        <v>0</v>
      </c>
      <c r="G164" s="10">
        <f>Data!L164</f>
        <v>1</v>
      </c>
      <c r="H164" s="10">
        <f t="shared" si="12"/>
        <v>0</v>
      </c>
      <c r="I164" s="10">
        <f>Data!H164</f>
        <v>0.6738124552612742</v>
      </c>
      <c r="J164" s="10">
        <f>Data!I164</f>
        <v>0.67379999999999995</v>
      </c>
      <c r="K164" s="10">
        <f t="shared" si="13"/>
        <v>0.6738124552612742</v>
      </c>
      <c r="L164" s="10">
        <f>Data!J164</f>
        <v>0.46701973676681519</v>
      </c>
      <c r="M164" s="21">
        <f>Data!K164</f>
        <v>570.6</v>
      </c>
      <c r="N164" s="21">
        <f>Data!M164</f>
        <v>318.95492553710938</v>
      </c>
      <c r="O164" s="21">
        <f>Data!N164</f>
        <v>318.95492553710938</v>
      </c>
      <c r="P164" s="10">
        <f>Data!O164</f>
        <v>1.35E-2</v>
      </c>
      <c r="Q164" s="10">
        <f t="shared" si="14"/>
        <v>0</v>
      </c>
      <c r="R164" s="10">
        <f>Data!Q164</f>
        <v>-0.26</v>
      </c>
      <c r="S164" s="10">
        <f>Data!P164</f>
        <v>-0.62</v>
      </c>
      <c r="T164" s="19"/>
    </row>
    <row r="165" spans="1:20" x14ac:dyDescent="0.25">
      <c r="A165" s="7">
        <f>Data!A165</f>
        <v>202202</v>
      </c>
      <c r="B165" s="7">
        <v>71360</v>
      </c>
      <c r="C165" s="7">
        <f>Data!F165</f>
        <v>844187</v>
      </c>
      <c r="D165" s="7">
        <f>IF(Data!D165="Malawi", 1, 0)</f>
        <v>0</v>
      </c>
      <c r="E165" s="7">
        <f t="shared" si="10"/>
        <v>1</v>
      </c>
      <c r="F165" s="7">
        <f t="shared" si="11"/>
        <v>0</v>
      </c>
      <c r="G165" s="10">
        <f>Data!L165</f>
        <v>0.91685111854952395</v>
      </c>
      <c r="H165" s="10">
        <f t="shared" si="12"/>
        <v>0</v>
      </c>
      <c r="I165" s="10">
        <f>Data!H165</f>
        <v>0.69255260675171249</v>
      </c>
      <c r="J165" s="10">
        <f>Data!I165</f>
        <v>0.70020000000000004</v>
      </c>
      <c r="K165" s="10">
        <f t="shared" si="13"/>
        <v>0.69318847894631952</v>
      </c>
      <c r="L165" s="10">
        <f>Data!J165</f>
        <v>0.17114667594432831</v>
      </c>
      <c r="M165" s="21">
        <f>Data!K165</f>
        <v>570.6</v>
      </c>
      <c r="N165" s="21">
        <f>Data!M165</f>
        <v>216.15901184082031</v>
      </c>
      <c r="O165" s="21">
        <f>Data!N165</f>
        <v>216.15901184082031</v>
      </c>
      <c r="P165" s="10">
        <f>Data!O165</f>
        <v>1.47E-2</v>
      </c>
      <c r="Q165" s="10">
        <f t="shared" si="14"/>
        <v>0</v>
      </c>
      <c r="R165" s="10">
        <f>Data!Q165</f>
        <v>-0.26</v>
      </c>
      <c r="S165" s="10">
        <f>Data!P165</f>
        <v>-0.62</v>
      </c>
      <c r="T165" s="19"/>
    </row>
    <row r="166" spans="1:20" x14ac:dyDescent="0.25">
      <c r="A166" s="7">
        <f>Data!A166</f>
        <v>202201</v>
      </c>
      <c r="B166" s="7">
        <v>71360</v>
      </c>
      <c r="C166" s="7">
        <f>Data!F166</f>
        <v>8632042</v>
      </c>
      <c r="D166" s="7">
        <f>IF(Data!D166="Malawi", 1, 0)</f>
        <v>0</v>
      </c>
      <c r="E166" s="7">
        <f t="shared" si="10"/>
        <v>1</v>
      </c>
      <c r="F166" s="7">
        <f t="shared" si="11"/>
        <v>0</v>
      </c>
      <c r="G166" s="10">
        <f>Data!L166</f>
        <v>0.99763721085477597</v>
      </c>
      <c r="H166" s="10">
        <f t="shared" si="12"/>
        <v>0</v>
      </c>
      <c r="I166" s="10">
        <f>Data!H166</f>
        <v>0.70442072449221083</v>
      </c>
      <c r="J166" s="10">
        <f>Data!I166</f>
        <v>0.70469999999999999</v>
      </c>
      <c r="K166" s="10">
        <f t="shared" si="13"/>
        <v>0.70442138436134916</v>
      </c>
      <c r="L166" s="10">
        <f>Data!J166</f>
        <v>0.21815009415149689</v>
      </c>
      <c r="M166" s="21">
        <f>Data!K166</f>
        <v>570.6</v>
      </c>
      <c r="N166" s="21">
        <f>Data!M166</f>
        <v>138.67498779296875</v>
      </c>
      <c r="O166" s="21">
        <f>Data!N166</f>
        <v>138.67498779296875</v>
      </c>
      <c r="P166" s="10">
        <f>Data!O166</f>
        <v>0.11269999999999999</v>
      </c>
      <c r="Q166" s="10">
        <f t="shared" si="14"/>
        <v>0</v>
      </c>
      <c r="R166" s="10">
        <f>Data!Q166</f>
        <v>-0.26</v>
      </c>
      <c r="S166" s="10">
        <f>Data!P166</f>
        <v>-0.62</v>
      </c>
      <c r="T166" s="19"/>
    </row>
    <row r="167" spans="1:20" x14ac:dyDescent="0.25">
      <c r="A167" s="7">
        <f>Data!A167</f>
        <v>202112</v>
      </c>
      <c r="B167" s="7">
        <v>71360</v>
      </c>
      <c r="C167" s="7">
        <f>Data!F167</f>
        <v>21214570</v>
      </c>
      <c r="D167" s="7">
        <f>IF(Data!D167="Malawi", 1, 0)</f>
        <v>0</v>
      </c>
      <c r="E167" s="7">
        <f t="shared" si="10"/>
        <v>1</v>
      </c>
      <c r="F167" s="7">
        <f t="shared" si="11"/>
        <v>0</v>
      </c>
      <c r="G167" s="10">
        <f>Data!L167</f>
        <v>0.99396538568957804</v>
      </c>
      <c r="H167" s="10">
        <f t="shared" si="12"/>
        <v>0</v>
      </c>
      <c r="I167" s="10">
        <f>Data!H167</f>
        <v>0.69025713941752376</v>
      </c>
      <c r="J167" s="10">
        <f>Data!I167</f>
        <v>0.69079999999999997</v>
      </c>
      <c r="K167" s="10">
        <f t="shared" si="13"/>
        <v>0.6902604153717633</v>
      </c>
      <c r="L167" s="10">
        <f>Data!J167</f>
        <v>0.14811158180236816</v>
      </c>
      <c r="M167" s="21">
        <f>Data!K167</f>
        <v>490.7</v>
      </c>
      <c r="N167" s="21">
        <f>Data!M167</f>
        <v>105.34542083740234</v>
      </c>
      <c r="O167" s="21">
        <f>Data!N167</f>
        <v>105.34542083740234</v>
      </c>
      <c r="P167" s="10">
        <f>Data!O167</f>
        <v>0.26729999999999998</v>
      </c>
      <c r="Q167" s="10">
        <f t="shared" si="14"/>
        <v>0</v>
      </c>
      <c r="R167" s="10">
        <f>Data!Q167</f>
        <v>-0.34</v>
      </c>
      <c r="S167" s="10">
        <f>Data!P167</f>
        <v>-0.69</v>
      </c>
      <c r="T167" s="19"/>
    </row>
    <row r="168" spans="1:20" x14ac:dyDescent="0.25">
      <c r="A168" s="7">
        <f>Data!A168</f>
        <v>202111</v>
      </c>
      <c r="B168" s="7">
        <v>71360</v>
      </c>
      <c r="C168" s="7">
        <f>Data!F168</f>
        <v>37105397</v>
      </c>
      <c r="D168" s="7">
        <f>IF(Data!D168="Malawi", 1, 0)</f>
        <v>0</v>
      </c>
      <c r="E168" s="7">
        <f t="shared" si="10"/>
        <v>1</v>
      </c>
      <c r="F168" s="7">
        <f t="shared" si="11"/>
        <v>0</v>
      </c>
      <c r="G168" s="10">
        <f>Data!L168</f>
        <v>1</v>
      </c>
      <c r="H168" s="10">
        <f t="shared" si="12"/>
        <v>0</v>
      </c>
      <c r="I168" s="10">
        <f>Data!H168</f>
        <v>0.77096997186680571</v>
      </c>
      <c r="J168" s="10">
        <f>Data!I168</f>
        <v>0.77100000000000002</v>
      </c>
      <c r="K168" s="10">
        <f t="shared" si="13"/>
        <v>0.77096997186680571</v>
      </c>
      <c r="L168" s="10">
        <f>Data!J168</f>
        <v>0.15636105835437775</v>
      </c>
      <c r="M168" s="21">
        <f>Data!K168</f>
        <v>490.7</v>
      </c>
      <c r="N168" s="21">
        <f>Data!M168</f>
        <v>86.569145202636719</v>
      </c>
      <c r="O168" s="21">
        <f>Data!N168</f>
        <v>86.569145202636719</v>
      </c>
      <c r="P168" s="10">
        <f>Data!O168</f>
        <v>0.51739999999999997</v>
      </c>
      <c r="Q168" s="10">
        <f t="shared" si="14"/>
        <v>0</v>
      </c>
      <c r="R168" s="10">
        <f>Data!Q168</f>
        <v>-0.34</v>
      </c>
      <c r="S168" s="10">
        <f>Data!P168</f>
        <v>-0.69</v>
      </c>
      <c r="T168" s="19"/>
    </row>
    <row r="169" spans="1:20" x14ac:dyDescent="0.25">
      <c r="A169" s="7">
        <f>Data!A169</f>
        <v>202110</v>
      </c>
      <c r="B169" s="7">
        <v>71360</v>
      </c>
      <c r="C169" s="7">
        <f>Data!F169</f>
        <v>39148872</v>
      </c>
      <c r="D169" s="7">
        <f>IF(Data!D169="Malawi", 1, 0)</f>
        <v>0</v>
      </c>
      <c r="E169" s="7">
        <f t="shared" si="10"/>
        <v>1</v>
      </c>
      <c r="F169" s="7">
        <f t="shared" si="11"/>
        <v>0</v>
      </c>
      <c r="G169" s="10">
        <f>Data!L169</f>
        <v>0.99827424900966499</v>
      </c>
      <c r="H169" s="10">
        <f t="shared" si="12"/>
        <v>0</v>
      </c>
      <c r="I169" s="10">
        <f>Data!H169</f>
        <v>1.1945805308704065</v>
      </c>
      <c r="J169" s="10">
        <f>Data!I169</f>
        <v>1.196</v>
      </c>
      <c r="K169" s="10">
        <f t="shared" si="13"/>
        <v>1.1945829805206625</v>
      </c>
      <c r="L169" s="10">
        <f>Data!J169</f>
        <v>0.25541067123413086</v>
      </c>
      <c r="M169" s="21">
        <f>Data!K169</f>
        <v>490.7</v>
      </c>
      <c r="N169" s="21">
        <f>Data!M169</f>
        <v>79.02923583984375</v>
      </c>
      <c r="O169" s="21">
        <f>Data!N169</f>
        <v>79.02923583984375</v>
      </c>
      <c r="P169" s="10">
        <f>Data!O169</f>
        <v>0.29120000000000001</v>
      </c>
      <c r="Q169" s="10">
        <f t="shared" si="14"/>
        <v>0</v>
      </c>
      <c r="R169" s="10">
        <f>Data!Q169</f>
        <v>-0.34</v>
      </c>
      <c r="S169" s="10">
        <f>Data!P169</f>
        <v>-0.69</v>
      </c>
      <c r="T169" s="19"/>
    </row>
    <row r="170" spans="1:20" x14ac:dyDescent="0.25">
      <c r="A170" s="7">
        <f>Data!A170</f>
        <v>202109</v>
      </c>
      <c r="B170" s="7">
        <v>71360</v>
      </c>
      <c r="C170" s="7">
        <f>Data!F170</f>
        <v>27308535</v>
      </c>
      <c r="D170" s="7">
        <f>IF(Data!D170="Malawi", 1, 0)</f>
        <v>0</v>
      </c>
      <c r="E170" s="7">
        <f t="shared" si="10"/>
        <v>1</v>
      </c>
      <c r="F170" s="7">
        <f t="shared" si="11"/>
        <v>0</v>
      </c>
      <c r="G170" s="10">
        <f>Data!L170</f>
        <v>1</v>
      </c>
      <c r="H170" s="10">
        <f t="shared" si="12"/>
        <v>0</v>
      </c>
      <c r="I170" s="10">
        <f>Data!H170</f>
        <v>0.78483175937049154</v>
      </c>
      <c r="J170" s="10">
        <f>Data!I170</f>
        <v>0.78480000000000005</v>
      </c>
      <c r="K170" s="10">
        <f t="shared" si="13"/>
        <v>0.78483175937049154</v>
      </c>
      <c r="L170" s="10">
        <f>Data!J170</f>
        <v>0.43071159720420837</v>
      </c>
      <c r="M170" s="21">
        <f>Data!K170</f>
        <v>490.7</v>
      </c>
      <c r="N170" s="21">
        <f>Data!M170</f>
        <v>80.696968078613281</v>
      </c>
      <c r="O170" s="21">
        <f>Data!N170</f>
        <v>80.696968078613281</v>
      </c>
      <c r="P170" s="10">
        <f>Data!O170</f>
        <v>0.51100000000000001</v>
      </c>
      <c r="Q170" s="10">
        <f t="shared" si="14"/>
        <v>0</v>
      </c>
      <c r="R170" s="10">
        <f>Data!Q170</f>
        <v>-0.34</v>
      </c>
      <c r="S170" s="10">
        <f>Data!P170</f>
        <v>-0.69</v>
      </c>
      <c r="T170" s="19"/>
    </row>
    <row r="171" spans="1:20" x14ac:dyDescent="0.25">
      <c r="A171" s="7">
        <f>Data!A171</f>
        <v>202108</v>
      </c>
      <c r="B171" s="7">
        <v>71360</v>
      </c>
      <c r="C171" s="7">
        <f>Data!F171</f>
        <v>4671903</v>
      </c>
      <c r="D171" s="7">
        <f>IF(Data!D171="Malawi", 1, 0)</f>
        <v>0</v>
      </c>
      <c r="E171" s="7">
        <f t="shared" si="10"/>
        <v>1</v>
      </c>
      <c r="F171" s="7">
        <f t="shared" si="11"/>
        <v>0</v>
      </c>
      <c r="G171" s="10">
        <f>Data!L171</f>
        <v>1</v>
      </c>
      <c r="H171" s="10">
        <f t="shared" si="12"/>
        <v>0</v>
      </c>
      <c r="I171" s="10">
        <f>Data!H171</f>
        <v>0.72036682111495731</v>
      </c>
      <c r="J171" s="10">
        <f>Data!I171</f>
        <v>0.72040000000000004</v>
      </c>
      <c r="K171" s="10">
        <f t="shared" si="13"/>
        <v>0.72036682111495731</v>
      </c>
      <c r="L171" s="10">
        <f>Data!J171</f>
        <v>0.14482259750366211</v>
      </c>
      <c r="M171" s="21">
        <f>Data!K171</f>
        <v>490.7</v>
      </c>
      <c r="N171" s="21">
        <f>Data!M171</f>
        <v>89.486549377441406</v>
      </c>
      <c r="O171" s="21">
        <f>Data!N171</f>
        <v>89.486549377441406</v>
      </c>
      <c r="P171" s="10">
        <f>Data!O171</f>
        <v>8.5400000000000004E-2</v>
      </c>
      <c r="Q171" s="10">
        <f t="shared" si="14"/>
        <v>0</v>
      </c>
      <c r="R171" s="10">
        <f>Data!Q171</f>
        <v>-0.34</v>
      </c>
      <c r="S171" s="10">
        <f>Data!P171</f>
        <v>-0.69</v>
      </c>
      <c r="T171" s="19"/>
    </row>
    <row r="172" spans="1:20" x14ac:dyDescent="0.25">
      <c r="A172" s="7">
        <f>Data!A172</f>
        <v>202107</v>
      </c>
      <c r="B172" s="7">
        <v>71360</v>
      </c>
      <c r="C172" s="7">
        <f>Data!F172</f>
        <v>1747159</v>
      </c>
      <c r="D172" s="7">
        <f>IF(Data!D172="Malawi", 1, 0)</f>
        <v>0</v>
      </c>
      <c r="E172" s="7">
        <f t="shared" si="10"/>
        <v>1</v>
      </c>
      <c r="F172" s="7">
        <f t="shared" si="11"/>
        <v>0</v>
      </c>
      <c r="G172" s="10">
        <f>Data!L172</f>
        <v>0.99064051810263398</v>
      </c>
      <c r="H172" s="10">
        <f t="shared" si="12"/>
        <v>0</v>
      </c>
      <c r="I172" s="10">
        <f>Data!H172</f>
        <v>0.73137772828880721</v>
      </c>
      <c r="J172" s="10">
        <f>Data!I172</f>
        <v>0.73129999999999995</v>
      </c>
      <c r="K172" s="10">
        <f t="shared" si="13"/>
        <v>0.73137700079229517</v>
      </c>
      <c r="L172" s="10">
        <f>Data!J172</f>
        <v>0.17029666900634766</v>
      </c>
      <c r="M172" s="21">
        <f>Data!K172</f>
        <v>490.7</v>
      </c>
      <c r="N172" s="21">
        <f>Data!M172</f>
        <v>58.420768737792969</v>
      </c>
      <c r="O172" s="21">
        <f>Data!N172</f>
        <v>58.420768737792969</v>
      </c>
      <c r="P172" s="10">
        <f>Data!O172</f>
        <v>5.21E-2</v>
      </c>
      <c r="Q172" s="10">
        <f t="shared" si="14"/>
        <v>0</v>
      </c>
      <c r="R172" s="10">
        <f>Data!Q172</f>
        <v>-0.34</v>
      </c>
      <c r="S172" s="10">
        <f>Data!P172</f>
        <v>-0.69</v>
      </c>
      <c r="T172" s="19"/>
    </row>
    <row r="173" spans="1:20" x14ac:dyDescent="0.25">
      <c r="A173" s="7">
        <f>Data!A173</f>
        <v>202106</v>
      </c>
      <c r="B173" s="7">
        <v>71360</v>
      </c>
      <c r="C173" s="7">
        <f>Data!F173</f>
        <v>1886570</v>
      </c>
      <c r="D173" s="7">
        <f>IF(Data!D173="Malawi", 1, 0)</f>
        <v>0</v>
      </c>
      <c r="E173" s="7">
        <f t="shared" si="10"/>
        <v>1</v>
      </c>
      <c r="F173" s="7">
        <f t="shared" si="11"/>
        <v>0</v>
      </c>
      <c r="G173" s="10">
        <f>Data!L173</f>
        <v>0.99957507052133798</v>
      </c>
      <c r="H173" s="10">
        <f t="shared" si="12"/>
        <v>0</v>
      </c>
      <c r="I173" s="10">
        <f>Data!H173</f>
        <v>0.67665561963788701</v>
      </c>
      <c r="J173" s="10">
        <f>Data!I173</f>
        <v>0.67400000000000004</v>
      </c>
      <c r="K173" s="10">
        <f t="shared" si="13"/>
        <v>0.67665449118681875</v>
      </c>
      <c r="L173" s="10">
        <f>Data!J173</f>
        <v>0.18566654622554779</v>
      </c>
      <c r="M173" s="21">
        <f>Data!K173</f>
        <v>490.7</v>
      </c>
      <c r="N173" s="21">
        <f>Data!M173</f>
        <v>74.127120971679688</v>
      </c>
      <c r="O173" s="21">
        <f>Data!N173</f>
        <v>74.127120971679688</v>
      </c>
      <c r="P173" s="10">
        <f>Data!O173</f>
        <v>0.12839999999999999</v>
      </c>
      <c r="Q173" s="10">
        <f t="shared" si="14"/>
        <v>0</v>
      </c>
      <c r="R173" s="10">
        <f>Data!Q173</f>
        <v>-0.34</v>
      </c>
      <c r="S173" s="10">
        <f>Data!P173</f>
        <v>-0.69</v>
      </c>
      <c r="T173" s="19"/>
    </row>
    <row r="174" spans="1:20" x14ac:dyDescent="0.25">
      <c r="A174" s="7">
        <f>Data!A174</f>
        <v>202105</v>
      </c>
      <c r="B174" s="7">
        <v>71360</v>
      </c>
      <c r="C174" s="7">
        <f>Data!F174</f>
        <v>116130</v>
      </c>
      <c r="D174" s="7">
        <f>IF(Data!D174="Malawi", 1, 0)</f>
        <v>0</v>
      </c>
      <c r="E174" s="7">
        <f t="shared" si="10"/>
        <v>1</v>
      </c>
      <c r="F174" s="7">
        <f t="shared" si="11"/>
        <v>0</v>
      </c>
      <c r="G174" s="10">
        <f>Data!L174</f>
        <v>0.64394317463485995</v>
      </c>
      <c r="H174" s="10">
        <f t="shared" si="12"/>
        <v>0</v>
      </c>
      <c r="I174" s="10">
        <f>Data!H174</f>
        <v>0.67127167630057805</v>
      </c>
      <c r="J174" s="10">
        <f>Data!I174</f>
        <v>0.61550000000000005</v>
      </c>
      <c r="K174" s="10">
        <f t="shared" si="13"/>
        <v>0.65141379029170199</v>
      </c>
      <c r="L174" s="10">
        <f>Data!J174</f>
        <v>0.30895048379898071</v>
      </c>
      <c r="M174" s="21">
        <f>Data!K174</f>
        <v>490.7</v>
      </c>
      <c r="N174" s="21">
        <f>Data!M174</f>
        <v>93.007133483886719</v>
      </c>
      <c r="O174" s="21">
        <f>Data!N174</f>
        <v>93.007133483886719</v>
      </c>
      <c r="P174" s="10">
        <f>Data!O174</f>
        <v>2.41E-2</v>
      </c>
      <c r="Q174" s="10">
        <f t="shared" si="14"/>
        <v>0</v>
      </c>
      <c r="R174" s="10">
        <f>Data!Q174</f>
        <v>-0.34</v>
      </c>
      <c r="S174" s="10">
        <f>Data!P174</f>
        <v>-0.69</v>
      </c>
      <c r="T174" s="19"/>
    </row>
    <row r="175" spans="1:20" x14ac:dyDescent="0.25">
      <c r="A175" s="7">
        <f>Data!A175</f>
        <v>202104</v>
      </c>
      <c r="B175" s="7">
        <v>71360</v>
      </c>
      <c r="C175" s="7">
        <f>Data!F175</f>
        <v>816347</v>
      </c>
      <c r="D175" s="7">
        <f>IF(Data!D175="Malawi", 1, 0)</f>
        <v>0</v>
      </c>
      <c r="E175" s="7">
        <f t="shared" si="10"/>
        <v>1</v>
      </c>
      <c r="F175" s="7">
        <f t="shared" si="11"/>
        <v>0</v>
      </c>
      <c r="G175" s="10">
        <f>Data!L175</f>
        <v>0.94905530082495504</v>
      </c>
      <c r="H175" s="10">
        <f t="shared" si="12"/>
        <v>0</v>
      </c>
      <c r="I175" s="10">
        <f>Data!H175</f>
        <v>0.56494602076124567</v>
      </c>
      <c r="J175" s="10">
        <f>Data!I175</f>
        <v>0.57699999999999996</v>
      </c>
      <c r="K175" s="10">
        <f t="shared" si="13"/>
        <v>0.56556010710742632</v>
      </c>
      <c r="L175" s="10">
        <f>Data!J175</f>
        <v>0.18157270550727844</v>
      </c>
      <c r="M175" s="21">
        <f>Data!K175</f>
        <v>490.7</v>
      </c>
      <c r="N175" s="21">
        <f>Data!M175</f>
        <v>88.166221618652344</v>
      </c>
      <c r="O175" s="21">
        <f>Data!N175</f>
        <v>88.166221618652344</v>
      </c>
      <c r="P175" s="10">
        <f>Data!O175</f>
        <v>0.1016</v>
      </c>
      <c r="Q175" s="10">
        <f t="shared" si="14"/>
        <v>0</v>
      </c>
      <c r="R175" s="10">
        <f>Data!Q175</f>
        <v>-0.34</v>
      </c>
      <c r="S175" s="10">
        <f>Data!P175</f>
        <v>-0.69</v>
      </c>
      <c r="T175" s="19"/>
    </row>
    <row r="176" spans="1:20" x14ac:dyDescent="0.25">
      <c r="A176" s="7">
        <f>Data!A176</f>
        <v>202103</v>
      </c>
      <c r="B176" s="7">
        <v>71360</v>
      </c>
      <c r="C176" s="7">
        <f>Data!F176</f>
        <v>439653</v>
      </c>
      <c r="D176" s="7">
        <f>IF(Data!D176="Malawi", 1, 0)</f>
        <v>0</v>
      </c>
      <c r="E176" s="7">
        <f t="shared" si="10"/>
        <v>1</v>
      </c>
      <c r="F176" s="7">
        <f t="shared" si="11"/>
        <v>0</v>
      </c>
      <c r="G176" s="10">
        <f>Data!L176</f>
        <v>0.86830801073601704</v>
      </c>
      <c r="H176" s="10">
        <f t="shared" si="12"/>
        <v>0</v>
      </c>
      <c r="I176" s="10">
        <f>Data!H176</f>
        <v>0.54211220715166464</v>
      </c>
      <c r="J176" s="10">
        <f>Data!I176</f>
        <v>0.51400000000000001</v>
      </c>
      <c r="K176" s="10">
        <f t="shared" si="13"/>
        <v>0.53841005466926073</v>
      </c>
      <c r="L176" s="10">
        <f>Data!J176</f>
        <v>0.31441047787666321</v>
      </c>
      <c r="M176" s="21">
        <f>Data!K176</f>
        <v>490.7</v>
      </c>
      <c r="N176" s="21">
        <f>Data!M176</f>
        <v>78.618766784667969</v>
      </c>
      <c r="O176" s="21">
        <f>Data!N176</f>
        <v>78.618766784667969</v>
      </c>
      <c r="P176" s="10">
        <f>Data!O176</f>
        <v>0.1777</v>
      </c>
      <c r="Q176" s="10">
        <f t="shared" si="14"/>
        <v>0</v>
      </c>
      <c r="R176" s="10">
        <f>Data!Q176</f>
        <v>-0.34</v>
      </c>
      <c r="S176" s="10">
        <f>Data!P176</f>
        <v>-0.69</v>
      </c>
      <c r="T176" s="19"/>
    </row>
    <row r="177" spans="1:20" x14ac:dyDescent="0.25">
      <c r="A177" s="7">
        <f>Data!A177</f>
        <v>202102</v>
      </c>
      <c r="B177" s="7">
        <v>71360</v>
      </c>
      <c r="C177" s="7">
        <f>Data!F177</f>
        <v>713899</v>
      </c>
      <c r="D177" s="7">
        <f>IF(Data!D177="Malawi", 1, 0)</f>
        <v>0</v>
      </c>
      <c r="E177" s="7">
        <f t="shared" si="10"/>
        <v>1</v>
      </c>
      <c r="F177" s="7">
        <f t="shared" si="11"/>
        <v>0</v>
      </c>
      <c r="G177" s="10">
        <f>Data!L177</f>
        <v>0.90718236818262099</v>
      </c>
      <c r="H177" s="10">
        <f t="shared" si="12"/>
        <v>0</v>
      </c>
      <c r="I177" s="10">
        <f>Data!H177</f>
        <v>0.71389899999999995</v>
      </c>
      <c r="J177" s="10">
        <f>Data!I177</f>
        <v>0.54169999999999996</v>
      </c>
      <c r="K177" s="10">
        <f t="shared" si="13"/>
        <v>0.69791589661867914</v>
      </c>
      <c r="L177" s="10">
        <f>Data!J177</f>
        <v>0.14015078544616699</v>
      </c>
      <c r="M177" s="21">
        <f>Data!K177</f>
        <v>490.7</v>
      </c>
      <c r="N177" s="21">
        <f>Data!M177</f>
        <v>73.956802368164063</v>
      </c>
      <c r="O177" s="21">
        <f>Data!N177</f>
        <v>73.956802368164063</v>
      </c>
      <c r="P177" s="10">
        <f>Data!O177</f>
        <v>9.2499999999999999E-2</v>
      </c>
      <c r="Q177" s="10">
        <f t="shared" si="14"/>
        <v>0</v>
      </c>
      <c r="R177" s="10">
        <f>Data!Q177</f>
        <v>-0.34</v>
      </c>
      <c r="S177" s="10">
        <f>Data!P177</f>
        <v>-0.69</v>
      </c>
      <c r="T177" s="19"/>
    </row>
    <row r="178" spans="1:20" x14ac:dyDescent="0.25">
      <c r="A178" s="7">
        <f>Data!A178</f>
        <v>202101</v>
      </c>
      <c r="B178" s="7">
        <v>71360</v>
      </c>
      <c r="C178" s="7">
        <f>Data!F178</f>
        <v>16149145</v>
      </c>
      <c r="D178" s="7">
        <f>IF(Data!D178="Malawi", 1, 0)</f>
        <v>0</v>
      </c>
      <c r="E178" s="7">
        <f t="shared" si="10"/>
        <v>1</v>
      </c>
      <c r="F178" s="7">
        <f t="shared" si="11"/>
        <v>0</v>
      </c>
      <c r="G178" s="10">
        <f>Data!L178</f>
        <v>1</v>
      </c>
      <c r="H178" s="10">
        <f t="shared" si="12"/>
        <v>0</v>
      </c>
      <c r="I178" s="10">
        <f>Data!H178</f>
        <v>0.58874024790375501</v>
      </c>
      <c r="J178" s="10">
        <f>Data!I178</f>
        <v>0.5887</v>
      </c>
      <c r="K178" s="10">
        <f t="shared" si="13"/>
        <v>0.58874024790375501</v>
      </c>
      <c r="L178" s="10">
        <f>Data!J178</f>
        <v>0.12384448945522308</v>
      </c>
      <c r="M178" s="21">
        <f>Data!K178</f>
        <v>490.7</v>
      </c>
      <c r="N178" s="21">
        <f>Data!M178</f>
        <v>77.418701171875</v>
      </c>
      <c r="O178" s="21">
        <f>Data!N178</f>
        <v>77.418701171875</v>
      </c>
      <c r="P178" s="10">
        <f>Data!O178</f>
        <v>0.35210000000000002</v>
      </c>
      <c r="Q178" s="10">
        <f t="shared" si="14"/>
        <v>0</v>
      </c>
      <c r="R178" s="10">
        <f>Data!Q178</f>
        <v>-0.34</v>
      </c>
      <c r="S178" s="10">
        <f>Data!P178</f>
        <v>-0.69</v>
      </c>
      <c r="T178" s="19"/>
    </row>
    <row r="179" spans="1:20" x14ac:dyDescent="0.25">
      <c r="A179" s="7">
        <f>Data!A179</f>
        <v>202012</v>
      </c>
      <c r="B179" s="7">
        <v>71360</v>
      </c>
      <c r="C179" s="7">
        <f>Data!F179</f>
        <v>50421725</v>
      </c>
      <c r="D179" s="7">
        <f>IF(Data!D179="Malawi", 1, 0)</f>
        <v>0</v>
      </c>
      <c r="E179" s="7">
        <f t="shared" si="10"/>
        <v>0</v>
      </c>
      <c r="F179" s="7">
        <f t="shared" si="11"/>
        <v>0</v>
      </c>
      <c r="G179" s="10">
        <f>Data!L179</f>
        <v>0.99824092288630895</v>
      </c>
      <c r="H179" s="10">
        <f t="shared" si="12"/>
        <v>0</v>
      </c>
      <c r="I179" s="10">
        <f>Data!H179</f>
        <v>0.61132877620821813</v>
      </c>
      <c r="J179" s="10">
        <f>Data!I179</f>
        <v>0.61129999999999995</v>
      </c>
      <c r="K179" s="10">
        <f t="shared" si="13"/>
        <v>0.61132872558864881</v>
      </c>
      <c r="L179" s="10">
        <f>Data!J179</f>
        <v>0.11803588271141052</v>
      </c>
      <c r="M179" s="21">
        <f>Data!K179</f>
        <v>493.3</v>
      </c>
      <c r="N179" s="21">
        <f>Data!M179</f>
        <v>64.067291259765625</v>
      </c>
      <c r="O179" s="21">
        <f>Data!N179</f>
        <v>64.067291259765625</v>
      </c>
      <c r="P179" s="10">
        <f>Data!O179</f>
        <v>0.38219999999999998</v>
      </c>
      <c r="Q179" s="10">
        <f t="shared" si="14"/>
        <v>0</v>
      </c>
      <c r="R179" s="10">
        <f>Data!Q179</f>
        <v>-0.48</v>
      </c>
      <c r="S179" s="10">
        <f>Data!P179</f>
        <v>-0.84</v>
      </c>
      <c r="T179" s="19"/>
    </row>
    <row r="180" spans="1:20" x14ac:dyDescent="0.25">
      <c r="A180" s="7">
        <f>Data!A180</f>
        <v>202011</v>
      </c>
      <c r="B180" s="7">
        <v>71360</v>
      </c>
      <c r="C180" s="7">
        <f>Data!F180</f>
        <v>30403322</v>
      </c>
      <c r="D180" s="7">
        <f>IF(Data!D180="Malawi", 1, 0)</f>
        <v>0</v>
      </c>
      <c r="E180" s="7">
        <f t="shared" si="10"/>
        <v>0</v>
      </c>
      <c r="F180" s="7">
        <f t="shared" si="11"/>
        <v>0</v>
      </c>
      <c r="G180" s="10">
        <f>Data!L180</f>
        <v>0.99577496922769204</v>
      </c>
      <c r="H180" s="10">
        <f t="shared" si="12"/>
        <v>0</v>
      </c>
      <c r="I180" s="10">
        <f>Data!H180</f>
        <v>0.65005477823580726</v>
      </c>
      <c r="J180" s="10">
        <f>Data!I180</f>
        <v>0.64059999999999995</v>
      </c>
      <c r="K180" s="10">
        <f t="shared" si="13"/>
        <v>0.6500148315068156</v>
      </c>
      <c r="L180" s="10">
        <f>Data!J180</f>
        <v>0.18354517221450806</v>
      </c>
      <c r="M180" s="21">
        <f>Data!K180</f>
        <v>493.3</v>
      </c>
      <c r="N180" s="21">
        <f>Data!M180</f>
        <v>70.067466735839844</v>
      </c>
      <c r="O180" s="21">
        <f>Data!N180</f>
        <v>70.067466735839844</v>
      </c>
      <c r="P180" s="10">
        <f>Data!O180</f>
        <v>0.3327</v>
      </c>
      <c r="Q180" s="10">
        <f t="shared" si="14"/>
        <v>0</v>
      </c>
      <c r="R180" s="10">
        <f>Data!Q180</f>
        <v>-0.48</v>
      </c>
      <c r="S180" s="10">
        <f>Data!P180</f>
        <v>-0.84</v>
      </c>
      <c r="T180" s="19"/>
    </row>
    <row r="181" spans="1:20" x14ac:dyDescent="0.25">
      <c r="A181" s="7">
        <f>Data!A181</f>
        <v>202008</v>
      </c>
      <c r="B181" s="7">
        <v>71360</v>
      </c>
      <c r="C181" s="7">
        <f>Data!F181</f>
        <v>131890</v>
      </c>
      <c r="D181" s="7">
        <f>IF(Data!D181="Malawi", 1, 0)</f>
        <v>0</v>
      </c>
      <c r="E181" s="7">
        <f t="shared" si="10"/>
        <v>0</v>
      </c>
      <c r="F181" s="7">
        <f t="shared" si="11"/>
        <v>0</v>
      </c>
      <c r="G181" s="10">
        <f>Data!L181</f>
        <v>0.63928689144385997</v>
      </c>
      <c r="H181" s="10">
        <f t="shared" si="12"/>
        <v>0</v>
      </c>
      <c r="I181" s="10">
        <f>Data!H181</f>
        <v>0.52756000000000003</v>
      </c>
      <c r="J181" s="10">
        <f>Data!I181</f>
        <v>0.55759999999999998</v>
      </c>
      <c r="K181" s="10">
        <f t="shared" si="13"/>
        <v>0.53839582178102652</v>
      </c>
      <c r="L181" s="10">
        <f>Data!J181</f>
        <v>9.7956277430057526E-2</v>
      </c>
      <c r="M181" s="21">
        <f>Data!K181</f>
        <v>493.3</v>
      </c>
      <c r="N181" s="21">
        <f>Data!M181</f>
        <v>65.466049194335938</v>
      </c>
      <c r="O181" s="21">
        <f>Data!N181</f>
        <v>65.466049194335938</v>
      </c>
      <c r="P181" s="10">
        <f>Data!O181</f>
        <v>8.1699999999999995E-2</v>
      </c>
      <c r="Q181" s="10">
        <f t="shared" si="14"/>
        <v>0</v>
      </c>
      <c r="R181" s="10">
        <f>Data!Q181</f>
        <v>-0.48</v>
      </c>
      <c r="S181" s="10">
        <f>Data!P181</f>
        <v>-0.84</v>
      </c>
      <c r="T181" s="19"/>
    </row>
    <row r="182" spans="1:20" x14ac:dyDescent="0.25">
      <c r="A182" s="7">
        <f>Data!A182</f>
        <v>202006</v>
      </c>
      <c r="B182" s="7">
        <v>71360</v>
      </c>
      <c r="C182" s="7">
        <f>Data!F182</f>
        <v>104359</v>
      </c>
      <c r="D182" s="7">
        <f>IF(Data!D182="Malawi", 1, 0)</f>
        <v>0</v>
      </c>
      <c r="E182" s="7">
        <f t="shared" si="10"/>
        <v>0</v>
      </c>
      <c r="F182" s="7">
        <f t="shared" si="11"/>
        <v>0</v>
      </c>
      <c r="G182" s="10">
        <f>Data!L182</f>
        <v>8.6792898483105702E-2</v>
      </c>
      <c r="H182" s="10">
        <f t="shared" si="12"/>
        <v>0</v>
      </c>
      <c r="I182" s="10">
        <f>Data!H182</f>
        <v>0.54925789473684206</v>
      </c>
      <c r="J182" s="10">
        <f>Data!I182</f>
        <v>0.66810000000000003</v>
      </c>
      <c r="K182" s="10">
        <f t="shared" si="13"/>
        <v>0.65778534922237619</v>
      </c>
      <c r="L182" s="10">
        <f>Data!J182</f>
        <v>0.32299742102622986</v>
      </c>
      <c r="M182" s="21">
        <f>Data!K182</f>
        <v>493.3</v>
      </c>
      <c r="N182" s="21">
        <f>Data!M182</f>
        <v>71.227859497070313</v>
      </c>
      <c r="O182" s="21">
        <f>Data!N182</f>
        <v>71.227859497070313</v>
      </c>
      <c r="P182" s="10">
        <f>Data!O182</f>
        <v>1</v>
      </c>
      <c r="Q182" s="10">
        <f t="shared" si="14"/>
        <v>0</v>
      </c>
      <c r="R182" s="10">
        <f>Data!Q182</f>
        <v>-0.48</v>
      </c>
      <c r="S182" s="10">
        <f>Data!P182</f>
        <v>-0.84</v>
      </c>
      <c r="T182" s="19"/>
    </row>
    <row r="183" spans="1:20" x14ac:dyDescent="0.25">
      <c r="A183" s="7">
        <f>Data!A183</f>
        <v>202001</v>
      </c>
      <c r="B183" s="7">
        <v>71360</v>
      </c>
      <c r="C183" s="7">
        <f>Data!F183</f>
        <v>62171</v>
      </c>
      <c r="D183" s="7">
        <f>IF(Data!D183="Malawi", 1, 0)</f>
        <v>0</v>
      </c>
      <c r="E183" s="7">
        <f t="shared" si="10"/>
        <v>0</v>
      </c>
      <c r="F183" s="7">
        <f t="shared" si="11"/>
        <v>0</v>
      </c>
      <c r="G183" s="10">
        <f>Data!L183</f>
        <v>1</v>
      </c>
      <c r="H183" s="10">
        <f t="shared" si="12"/>
        <v>0</v>
      </c>
      <c r="I183" s="10">
        <f>Data!H183</f>
        <v>0.49736799999999998</v>
      </c>
      <c r="J183" s="10">
        <f>Data!I183</f>
        <v>0.49740000000000001</v>
      </c>
      <c r="K183" s="10">
        <f t="shared" si="13"/>
        <v>0.49736799999999998</v>
      </c>
      <c r="L183" s="10">
        <f>Data!J183</f>
        <v>0.18089565634727478</v>
      </c>
      <c r="M183" s="21">
        <f>Data!K183</f>
        <v>493.3</v>
      </c>
      <c r="N183" s="21">
        <f>Data!M183</f>
        <v>138.42094421386719</v>
      </c>
      <c r="O183" s="21">
        <f>Data!N183</f>
        <v>138.42094421386719</v>
      </c>
      <c r="P183" s="10">
        <f>Data!O183</f>
        <v>1.6999999999999999E-3</v>
      </c>
      <c r="Q183" s="10">
        <f t="shared" si="14"/>
        <v>0</v>
      </c>
      <c r="R183" s="10">
        <f>Data!Q183</f>
        <v>-0.48</v>
      </c>
      <c r="S183" s="10">
        <f>Data!P183</f>
        <v>-0.84</v>
      </c>
      <c r="T183" s="19"/>
    </row>
    <row r="184" spans="1:20" x14ac:dyDescent="0.25">
      <c r="A184" s="7">
        <f>Data!A184</f>
        <v>201912</v>
      </c>
      <c r="B184" s="7">
        <v>71360</v>
      </c>
      <c r="C184" s="7">
        <f>Data!F184</f>
        <v>184324</v>
      </c>
      <c r="D184" s="7">
        <f>IF(Data!D184="Malawi", 1, 0)</f>
        <v>0</v>
      </c>
      <c r="E184" s="7">
        <f t="shared" si="10"/>
        <v>0</v>
      </c>
      <c r="F184" s="7">
        <f t="shared" si="11"/>
        <v>0</v>
      </c>
      <c r="G184" s="10">
        <f>Data!L184</f>
        <v>0.28930859070283499</v>
      </c>
      <c r="H184" s="10">
        <f t="shared" si="12"/>
        <v>0</v>
      </c>
      <c r="I184" s="10">
        <f>Data!H184</f>
        <v>0.49153066666666667</v>
      </c>
      <c r="J184" s="10">
        <f>Data!I184</f>
        <v>0.3881</v>
      </c>
      <c r="K184" s="10">
        <f t="shared" si="13"/>
        <v>0.418023380408788</v>
      </c>
      <c r="L184" s="10">
        <f>Data!J184</f>
        <v>9.2224054038524628E-2</v>
      </c>
      <c r="M184" s="21">
        <f>Data!K184</f>
        <v>484.9</v>
      </c>
      <c r="N184" s="21">
        <f>Data!M184</f>
        <v>74.279891967773438</v>
      </c>
      <c r="O184" s="21">
        <f>Data!N184</f>
        <v>74.279891967773438</v>
      </c>
      <c r="P184" s="10">
        <f>Data!O184</f>
        <v>1.2999999999999999E-2</v>
      </c>
      <c r="Q184" s="10">
        <f t="shared" si="14"/>
        <v>0</v>
      </c>
      <c r="R184" s="10">
        <f>Data!Q184</f>
        <v>-0.39</v>
      </c>
      <c r="S184" s="10">
        <f>Data!P184</f>
        <v>-0.8</v>
      </c>
      <c r="T184" s="19"/>
    </row>
    <row r="185" spans="1:20" x14ac:dyDescent="0.25">
      <c r="A185" s="7">
        <f>Data!A185</f>
        <v>201911</v>
      </c>
      <c r="B185" s="7">
        <v>71360</v>
      </c>
      <c r="C185" s="7">
        <f>Data!F185</f>
        <v>10436426</v>
      </c>
      <c r="D185" s="7">
        <f>IF(Data!D185="Malawi", 1, 0)</f>
        <v>0</v>
      </c>
      <c r="E185" s="7">
        <f t="shared" si="10"/>
        <v>0</v>
      </c>
      <c r="F185" s="7">
        <f t="shared" si="11"/>
        <v>0</v>
      </c>
      <c r="G185" s="10">
        <f>Data!L185</f>
        <v>1</v>
      </c>
      <c r="H185" s="10">
        <f t="shared" si="12"/>
        <v>0</v>
      </c>
      <c r="I185" s="10">
        <f>Data!H185</f>
        <v>0.58366661446915125</v>
      </c>
      <c r="J185" s="10">
        <f>Data!I185</f>
        <v>0.5837</v>
      </c>
      <c r="K185" s="10">
        <f t="shared" si="13"/>
        <v>0.58366661446915125</v>
      </c>
      <c r="L185" s="10">
        <f>Data!J185</f>
        <v>7.9225353896617889E-2</v>
      </c>
      <c r="M185" s="21">
        <f>Data!K185</f>
        <v>484.9</v>
      </c>
      <c r="N185" s="21">
        <f>Data!M185</f>
        <v>73.078384399414063</v>
      </c>
      <c r="O185" s="21">
        <f>Data!N185</f>
        <v>73.078384399414063</v>
      </c>
      <c r="P185" s="10">
        <f>Data!O185</f>
        <v>0.17249999999999999</v>
      </c>
      <c r="Q185" s="10">
        <f t="shared" si="14"/>
        <v>0</v>
      </c>
      <c r="R185" s="10">
        <f>Data!Q185</f>
        <v>-0.39</v>
      </c>
      <c r="S185" s="10">
        <f>Data!P185</f>
        <v>-0.8</v>
      </c>
      <c r="T185" s="19"/>
    </row>
    <row r="186" spans="1:20" x14ac:dyDescent="0.25">
      <c r="A186" s="7">
        <f>Data!A186</f>
        <v>201910</v>
      </c>
      <c r="B186" s="7">
        <v>71360</v>
      </c>
      <c r="C186" s="7">
        <f>Data!F186</f>
        <v>13386640</v>
      </c>
      <c r="D186" s="7">
        <f>IF(Data!D186="Malawi", 1, 0)</f>
        <v>0</v>
      </c>
      <c r="E186" s="7">
        <f t="shared" si="10"/>
        <v>0</v>
      </c>
      <c r="F186" s="7">
        <f t="shared" si="11"/>
        <v>0</v>
      </c>
      <c r="G186" s="10">
        <f>Data!L186</f>
        <v>1</v>
      </c>
      <c r="H186" s="10">
        <f t="shared" si="12"/>
        <v>0</v>
      </c>
      <c r="I186" s="10">
        <f>Data!H186</f>
        <v>0.59358729342278549</v>
      </c>
      <c r="J186" s="10">
        <f>Data!I186</f>
        <v>0.59360000000000002</v>
      </c>
      <c r="K186" s="10">
        <f t="shared" si="13"/>
        <v>0.59358729342278549</v>
      </c>
      <c r="L186" s="10">
        <f>Data!J186</f>
        <v>0.1681661456823349</v>
      </c>
      <c r="M186" s="21">
        <f>Data!K186</f>
        <v>484.9</v>
      </c>
      <c r="N186" s="21">
        <f>Data!M186</f>
        <v>97.83673095703125</v>
      </c>
      <c r="O186" s="21">
        <f>Data!N186</f>
        <v>97.83673095703125</v>
      </c>
      <c r="P186" s="10">
        <f>Data!O186</f>
        <v>0.19220000000000001</v>
      </c>
      <c r="Q186" s="10">
        <f t="shared" si="14"/>
        <v>0</v>
      </c>
      <c r="R186" s="10">
        <f>Data!Q186</f>
        <v>-0.39</v>
      </c>
      <c r="S186" s="10">
        <f>Data!P186</f>
        <v>-0.8</v>
      </c>
      <c r="T186" s="19"/>
    </row>
    <row r="187" spans="1:20" x14ac:dyDescent="0.25">
      <c r="A187" s="7">
        <f>Data!A187</f>
        <v>201909</v>
      </c>
      <c r="B187" s="7">
        <v>71360</v>
      </c>
      <c r="C187" s="7">
        <f>Data!F187</f>
        <v>3188477</v>
      </c>
      <c r="D187" s="7">
        <f>IF(Data!D187="Malawi", 1, 0)</f>
        <v>0</v>
      </c>
      <c r="E187" s="7">
        <f t="shared" si="10"/>
        <v>0</v>
      </c>
      <c r="F187" s="7">
        <f t="shared" si="11"/>
        <v>0</v>
      </c>
      <c r="G187" s="10">
        <f>Data!L187</f>
        <v>1</v>
      </c>
      <c r="H187" s="10">
        <f t="shared" si="12"/>
        <v>0</v>
      </c>
      <c r="I187" s="10">
        <f>Data!H187</f>
        <v>0.63756788642271545</v>
      </c>
      <c r="J187" s="10">
        <f>Data!I187</f>
        <v>0.63759999999999994</v>
      </c>
      <c r="K187" s="10">
        <f t="shared" si="13"/>
        <v>0.63756788642271545</v>
      </c>
      <c r="L187" s="10">
        <f>Data!J187</f>
        <v>0.15501129627227783</v>
      </c>
      <c r="M187" s="21">
        <f>Data!K187</f>
        <v>484.9</v>
      </c>
      <c r="N187" s="21">
        <f>Data!M187</f>
        <v>90.367988586425781</v>
      </c>
      <c r="O187" s="21">
        <f>Data!N187</f>
        <v>90.367988586425781</v>
      </c>
      <c r="P187" s="10">
        <f>Data!O187</f>
        <v>0.1024</v>
      </c>
      <c r="Q187" s="10">
        <f t="shared" si="14"/>
        <v>0</v>
      </c>
      <c r="R187" s="10">
        <f>Data!Q187</f>
        <v>-0.39</v>
      </c>
      <c r="S187" s="10">
        <f>Data!P187</f>
        <v>-0.8</v>
      </c>
      <c r="T187" s="19"/>
    </row>
    <row r="188" spans="1:20" x14ac:dyDescent="0.25">
      <c r="A188" s="7">
        <f>Data!A188</f>
        <v>201908</v>
      </c>
      <c r="B188" s="7">
        <v>71360</v>
      </c>
      <c r="C188" s="7">
        <f>Data!F188</f>
        <v>2441473</v>
      </c>
      <c r="D188" s="7">
        <f>IF(Data!D188="Malawi", 1, 0)</f>
        <v>0</v>
      </c>
      <c r="E188" s="7">
        <f t="shared" si="10"/>
        <v>0</v>
      </c>
      <c r="F188" s="7">
        <f t="shared" si="11"/>
        <v>0</v>
      </c>
      <c r="G188" s="10">
        <f>Data!L188</f>
        <v>1</v>
      </c>
      <c r="H188" s="10">
        <f t="shared" si="12"/>
        <v>0</v>
      </c>
      <c r="I188" s="10">
        <f>Data!H188</f>
        <v>0.60298172388244009</v>
      </c>
      <c r="J188" s="10">
        <f>Data!I188</f>
        <v>0.60299999999999998</v>
      </c>
      <c r="K188" s="10">
        <f t="shared" si="13"/>
        <v>0.60298172388244009</v>
      </c>
      <c r="L188" s="10">
        <f>Data!J188</f>
        <v>0.34510219097137451</v>
      </c>
      <c r="M188" s="21">
        <f>Data!K188</f>
        <v>484.9</v>
      </c>
      <c r="N188" s="21">
        <f>Data!M188</f>
        <v>103.4044189453125</v>
      </c>
      <c r="O188" s="21">
        <f>Data!N188</f>
        <v>103.4044189453125</v>
      </c>
      <c r="P188" s="10">
        <f>Data!O188</f>
        <v>0.10979999999999999</v>
      </c>
      <c r="Q188" s="10">
        <f t="shared" si="14"/>
        <v>0</v>
      </c>
      <c r="R188" s="10">
        <f>Data!Q188</f>
        <v>-0.39</v>
      </c>
      <c r="S188" s="10">
        <f>Data!P188</f>
        <v>-0.8</v>
      </c>
      <c r="T188" s="19"/>
    </row>
    <row r="189" spans="1:20" x14ac:dyDescent="0.25">
      <c r="A189" s="7">
        <f>Data!A189</f>
        <v>201906</v>
      </c>
      <c r="B189" s="7">
        <v>71360</v>
      </c>
      <c r="C189" s="7">
        <f>Data!F189</f>
        <v>133293</v>
      </c>
      <c r="D189" s="7">
        <f>IF(Data!D189="Malawi", 1, 0)</f>
        <v>0</v>
      </c>
      <c r="E189" s="7">
        <f t="shared" si="10"/>
        <v>0</v>
      </c>
      <c r="F189" s="7">
        <f t="shared" si="11"/>
        <v>0</v>
      </c>
      <c r="G189" s="10">
        <f>Data!L189</f>
        <v>1</v>
      </c>
      <c r="H189" s="10">
        <f t="shared" si="12"/>
        <v>0</v>
      </c>
      <c r="I189" s="10">
        <f>Data!H189</f>
        <v>0.59241333333333335</v>
      </c>
      <c r="J189" s="10">
        <f>Data!I189</f>
        <v>0.59240000000000004</v>
      </c>
      <c r="K189" s="10">
        <f t="shared" si="13"/>
        <v>0.59241333333333335</v>
      </c>
      <c r="L189" s="10">
        <f>Data!J189</f>
        <v>0.20709292590618134</v>
      </c>
      <c r="M189" s="21">
        <f>Data!K189</f>
        <v>484.9</v>
      </c>
      <c r="N189" s="21">
        <f>Data!M189</f>
        <v>106.58845520019531</v>
      </c>
      <c r="O189" s="21">
        <f>Data!N189</f>
        <v>106.58845520019531</v>
      </c>
      <c r="P189" s="10">
        <f>Data!O189</f>
        <v>1.7399999999999999E-2</v>
      </c>
      <c r="Q189" s="10">
        <f t="shared" si="14"/>
        <v>0</v>
      </c>
      <c r="R189" s="10">
        <f>Data!Q189</f>
        <v>-0.39</v>
      </c>
      <c r="S189" s="10">
        <f>Data!P189</f>
        <v>-0.8</v>
      </c>
      <c r="T189" s="19"/>
    </row>
    <row r="190" spans="1:20" x14ac:dyDescent="0.25">
      <c r="A190" s="7">
        <f>Data!A190</f>
        <v>201905</v>
      </c>
      <c r="B190" s="7">
        <v>71360</v>
      </c>
      <c r="C190" s="7">
        <f>Data!F190</f>
        <v>111466</v>
      </c>
      <c r="D190" s="7">
        <f>IF(Data!D190="Malawi", 1, 0)</f>
        <v>0</v>
      </c>
      <c r="E190" s="7">
        <f t="shared" si="10"/>
        <v>0</v>
      </c>
      <c r="F190" s="7">
        <f t="shared" si="11"/>
        <v>0</v>
      </c>
      <c r="G190" s="10">
        <f>Data!L190</f>
        <v>0.76907048628360097</v>
      </c>
      <c r="H190" s="10">
        <f t="shared" si="12"/>
        <v>0</v>
      </c>
      <c r="I190" s="10">
        <f>Data!H190</f>
        <v>0.61245054945054944</v>
      </c>
      <c r="J190" s="10">
        <f>Data!I190</f>
        <v>0.56620000000000004</v>
      </c>
      <c r="K190" s="10">
        <f t="shared" si="13"/>
        <v>0.60176993255681777</v>
      </c>
      <c r="L190" s="10">
        <f>Data!J190</f>
        <v>0.26218515634536743</v>
      </c>
      <c r="M190" s="21">
        <f>Data!K190</f>
        <v>484.9</v>
      </c>
      <c r="N190" s="21">
        <f>Data!M190</f>
        <v>106.47190093994141</v>
      </c>
      <c r="O190" s="21">
        <f>Data!N190</f>
        <v>106.47190093994141</v>
      </c>
      <c r="P190" s="10">
        <f>Data!O190</f>
        <v>2.18E-2</v>
      </c>
      <c r="Q190" s="10">
        <f t="shared" si="14"/>
        <v>0</v>
      </c>
      <c r="R190" s="10">
        <f>Data!Q190</f>
        <v>-0.39</v>
      </c>
      <c r="S190" s="10">
        <f>Data!P190</f>
        <v>-0.8</v>
      </c>
      <c r="T190" s="19"/>
    </row>
    <row r="191" spans="1:20" x14ac:dyDescent="0.25">
      <c r="A191" s="7">
        <f>Data!A191</f>
        <v>201904</v>
      </c>
      <c r="B191" s="7">
        <v>71360</v>
      </c>
      <c r="C191" s="7">
        <f>Data!F191</f>
        <v>366509</v>
      </c>
      <c r="D191" s="7">
        <f>IF(Data!D191="Malawi", 1, 0)</f>
        <v>0</v>
      </c>
      <c r="E191" s="7">
        <f t="shared" si="10"/>
        <v>0</v>
      </c>
      <c r="F191" s="7">
        <f t="shared" si="11"/>
        <v>0</v>
      </c>
      <c r="G191" s="10">
        <f>Data!L191</f>
        <v>1</v>
      </c>
      <c r="H191" s="10">
        <f t="shared" si="12"/>
        <v>0</v>
      </c>
      <c r="I191" s="10">
        <f>Data!H191</f>
        <v>0.61084833333333333</v>
      </c>
      <c r="J191" s="10">
        <f>Data!I191</f>
        <v>0.61080000000000001</v>
      </c>
      <c r="K191" s="10">
        <f t="shared" si="13"/>
        <v>0.61084833333333333</v>
      </c>
      <c r="L191" s="10">
        <f>Data!J191</f>
        <v>0.35365745425224304</v>
      </c>
      <c r="M191" s="21">
        <f>Data!K191</f>
        <v>484.9</v>
      </c>
      <c r="N191" s="21">
        <f>Data!M191</f>
        <v>79.253448486328125</v>
      </c>
      <c r="O191" s="21">
        <f>Data!N191</f>
        <v>79.253448486328125</v>
      </c>
      <c r="P191" s="10">
        <f>Data!O191</f>
        <v>4.7E-2</v>
      </c>
      <c r="Q191" s="10">
        <f t="shared" si="14"/>
        <v>0</v>
      </c>
      <c r="R191" s="10">
        <f>Data!Q191</f>
        <v>-0.39</v>
      </c>
      <c r="S191" s="10">
        <f>Data!P191</f>
        <v>-0.8</v>
      </c>
      <c r="T191" s="19"/>
    </row>
    <row r="192" spans="1:20" x14ac:dyDescent="0.25">
      <c r="A192" s="7">
        <f>Data!A192</f>
        <v>201903</v>
      </c>
      <c r="B192" s="7">
        <v>71360</v>
      </c>
      <c r="C192" s="7">
        <f>Data!F192</f>
        <v>2732296</v>
      </c>
      <c r="D192" s="7">
        <f>IF(Data!D192="Malawi", 1, 0)</f>
        <v>0</v>
      </c>
      <c r="E192" s="7">
        <f t="shared" si="10"/>
        <v>0</v>
      </c>
      <c r="F192" s="7">
        <f t="shared" si="11"/>
        <v>0</v>
      </c>
      <c r="G192" s="10">
        <f>Data!L192</f>
        <v>0.97473143385939998</v>
      </c>
      <c r="H192" s="10">
        <f t="shared" si="12"/>
        <v>0</v>
      </c>
      <c r="I192" s="10">
        <f>Data!H192</f>
        <v>0.4778186409525958</v>
      </c>
      <c r="J192" s="10">
        <f>Data!I192</f>
        <v>0.47889999999999999</v>
      </c>
      <c r="K192" s="10">
        <f t="shared" si="13"/>
        <v>0.4778459653452069</v>
      </c>
      <c r="L192" s="10">
        <f>Data!J192</f>
        <v>0.30866771936416626</v>
      </c>
      <c r="M192" s="21">
        <f>Data!K192</f>
        <v>484.9</v>
      </c>
      <c r="N192" s="21">
        <f>Data!M192</f>
        <v>82.328292846679688</v>
      </c>
      <c r="O192" s="21">
        <f>Data!N192</f>
        <v>82.328292846679688</v>
      </c>
      <c r="P192" s="10">
        <f>Data!O192</f>
        <v>0.1139</v>
      </c>
      <c r="Q192" s="10">
        <f t="shared" si="14"/>
        <v>0</v>
      </c>
      <c r="R192" s="10">
        <f>Data!Q192</f>
        <v>-0.39</v>
      </c>
      <c r="S192" s="10">
        <f>Data!P192</f>
        <v>-0.8</v>
      </c>
      <c r="T192" s="19"/>
    </row>
    <row r="193" spans="1:20" x14ac:dyDescent="0.25">
      <c r="A193" s="7">
        <f>Data!A193</f>
        <v>201902</v>
      </c>
      <c r="B193" s="7">
        <v>71360</v>
      </c>
      <c r="C193" s="7">
        <f>Data!F193</f>
        <v>3307463</v>
      </c>
      <c r="D193" s="7">
        <f>IF(Data!D193="Malawi", 1, 0)</f>
        <v>0</v>
      </c>
      <c r="E193" s="7">
        <f t="shared" si="10"/>
        <v>0</v>
      </c>
      <c r="F193" s="7">
        <f t="shared" si="11"/>
        <v>0</v>
      </c>
      <c r="G193" s="10">
        <f>Data!L193</f>
        <v>0.99207143834120803</v>
      </c>
      <c r="H193" s="10">
        <f t="shared" si="12"/>
        <v>0</v>
      </c>
      <c r="I193" s="10">
        <f>Data!H193</f>
        <v>0.59088217954443945</v>
      </c>
      <c r="J193" s="10">
        <f>Data!I193</f>
        <v>0.5907</v>
      </c>
      <c r="K193" s="10">
        <f t="shared" si="13"/>
        <v>0.59088073512268835</v>
      </c>
      <c r="L193" s="10">
        <f>Data!J193</f>
        <v>0.3635161817073822</v>
      </c>
      <c r="M193" s="21">
        <f>Data!K193</f>
        <v>484.9</v>
      </c>
      <c r="N193" s="21">
        <f>Data!M193</f>
        <v>96.800163269042969</v>
      </c>
      <c r="O193" s="21">
        <f>Data!N193</f>
        <v>96.800163269042969</v>
      </c>
      <c r="P193" s="10">
        <f>Data!O193</f>
        <v>0.41549999999999998</v>
      </c>
      <c r="Q193" s="10">
        <f t="shared" si="14"/>
        <v>0</v>
      </c>
      <c r="R193" s="10">
        <f>Data!Q193</f>
        <v>-0.39</v>
      </c>
      <c r="S193" s="10">
        <f>Data!P193</f>
        <v>-0.8</v>
      </c>
      <c r="T193" s="19"/>
    </row>
    <row r="194" spans="1:20" x14ac:dyDescent="0.25">
      <c r="A194" s="7">
        <f>Data!A194</f>
        <v>201901</v>
      </c>
      <c r="B194" s="7">
        <v>71360</v>
      </c>
      <c r="C194" s="7">
        <f>Data!F194</f>
        <v>13871071</v>
      </c>
      <c r="D194" s="7">
        <f>IF(Data!D194="Malawi", 1, 0)</f>
        <v>0</v>
      </c>
      <c r="E194" s="7">
        <f t="shared" ref="E194:E260" si="15">IF(A194&gt;202100, 1, 0)</f>
        <v>0</v>
      </c>
      <c r="F194" s="7">
        <f t="shared" ref="F194:F257" si="16">D194*E194</f>
        <v>0</v>
      </c>
      <c r="G194" s="10">
        <f>Data!L194</f>
        <v>1</v>
      </c>
      <c r="H194" s="10">
        <f t="shared" si="12"/>
        <v>0</v>
      </c>
      <c r="I194" s="10">
        <f>Data!H194</f>
        <v>0.45294772074190176</v>
      </c>
      <c r="J194" s="10">
        <f>Data!I194</f>
        <v>0.45290000000000002</v>
      </c>
      <c r="K194" s="10">
        <f t="shared" si="13"/>
        <v>0.45294772074190176</v>
      </c>
      <c r="L194" s="10">
        <f>Data!J194</f>
        <v>8.9247770607471466E-2</v>
      </c>
      <c r="M194" s="21">
        <f>Data!K194</f>
        <v>484.9</v>
      </c>
      <c r="N194" s="21">
        <f>Data!M194</f>
        <v>87.424102783203125</v>
      </c>
      <c r="O194" s="21">
        <f>Data!N194</f>
        <v>87.424102783203125</v>
      </c>
      <c r="P194" s="10">
        <f>Data!O194</f>
        <v>0.31130000000000002</v>
      </c>
      <c r="Q194" s="10">
        <f t="shared" si="14"/>
        <v>0</v>
      </c>
      <c r="R194" s="10">
        <f>Data!Q194</f>
        <v>-0.39</v>
      </c>
      <c r="S194" s="10">
        <f>Data!P194</f>
        <v>-0.8</v>
      </c>
      <c r="T194" s="19"/>
    </row>
    <row r="195" spans="1:20" x14ac:dyDescent="0.25">
      <c r="A195" s="7">
        <f>Data!A195</f>
        <v>201812</v>
      </c>
      <c r="B195" s="7">
        <v>71360</v>
      </c>
      <c r="C195" s="7">
        <f>Data!F195</f>
        <v>6677629</v>
      </c>
      <c r="D195" s="7">
        <f>IF(Data!D195="Malawi", 1, 0)</f>
        <v>0</v>
      </c>
      <c r="E195" s="7">
        <f t="shared" si="15"/>
        <v>0</v>
      </c>
      <c r="F195" s="7">
        <f t="shared" si="16"/>
        <v>0</v>
      </c>
      <c r="G195" s="10">
        <f>Data!L195</f>
        <v>0.96042506707743702</v>
      </c>
      <c r="H195" s="10">
        <f t="shared" ref="H195:H258" si="17">F195*G195</f>
        <v>0</v>
      </c>
      <c r="I195" s="10">
        <f>Data!H195</f>
        <v>0.46378220888722199</v>
      </c>
      <c r="J195" s="10">
        <f>Data!I195</f>
        <v>0.4652</v>
      </c>
      <c r="K195" s="10">
        <f t="shared" ref="K195:K258" si="18">(I195*G195)+(J195*(1-G195))</f>
        <v>0.46383831787540836</v>
      </c>
      <c r="L195" s="10">
        <f>Data!J195</f>
        <v>7.9793475568294525E-2</v>
      </c>
      <c r="M195" s="21">
        <f>Data!K195</f>
        <v>487.2</v>
      </c>
      <c r="N195" s="21">
        <f>Data!M195</f>
        <v>90.607666015625</v>
      </c>
      <c r="O195" s="21">
        <f>Data!N195</f>
        <v>90.607666015625</v>
      </c>
      <c r="P195" s="10">
        <f>Data!O195</f>
        <v>0.15570000000000001</v>
      </c>
      <c r="Q195" s="10">
        <f t="shared" ref="Q195:Q258" si="19">P195*F195</f>
        <v>0</v>
      </c>
      <c r="R195" s="10">
        <f>Data!Q195</f>
        <v>-0.57999999999999996</v>
      </c>
      <c r="S195" s="10">
        <f>Data!P195</f>
        <v>-1</v>
      </c>
      <c r="T195" s="19"/>
    </row>
    <row r="196" spans="1:20" x14ac:dyDescent="0.25">
      <c r="A196" s="7">
        <f>Data!A196</f>
        <v>201811</v>
      </c>
      <c r="B196" s="7">
        <v>71360</v>
      </c>
      <c r="C196" s="7">
        <f>Data!F196</f>
        <v>2680291</v>
      </c>
      <c r="D196" s="7">
        <f>IF(Data!D196="Malawi", 1, 0)</f>
        <v>0</v>
      </c>
      <c r="E196" s="7">
        <f t="shared" si="15"/>
        <v>0</v>
      </c>
      <c r="F196" s="7">
        <f t="shared" si="16"/>
        <v>0</v>
      </c>
      <c r="G196" s="10">
        <f>Data!L196</f>
        <v>0.99379096393560695</v>
      </c>
      <c r="H196" s="10">
        <f t="shared" si="17"/>
        <v>0</v>
      </c>
      <c r="I196" s="10">
        <f>Data!H196</f>
        <v>0.41690636179810237</v>
      </c>
      <c r="J196" s="10">
        <f>Data!I196</f>
        <v>0.41870000000000002</v>
      </c>
      <c r="K196" s="10">
        <f t="shared" si="18"/>
        <v>0.41691749856238441</v>
      </c>
      <c r="L196" s="10">
        <f>Data!J196</f>
        <v>0.18225744366645813</v>
      </c>
      <c r="M196" s="21">
        <f>Data!K196</f>
        <v>487.2</v>
      </c>
      <c r="N196" s="21">
        <f>Data!M196</f>
        <v>80.407585144042969</v>
      </c>
      <c r="O196" s="21">
        <f>Data!N196</f>
        <v>80.407585144042969</v>
      </c>
      <c r="P196" s="10">
        <f>Data!O196</f>
        <v>0.17849999999999999</v>
      </c>
      <c r="Q196" s="10">
        <f t="shared" si="19"/>
        <v>0</v>
      </c>
      <c r="R196" s="10">
        <f>Data!Q196</f>
        <v>-0.57999999999999996</v>
      </c>
      <c r="S196" s="10">
        <f>Data!P196</f>
        <v>-1</v>
      </c>
      <c r="T196" s="19"/>
    </row>
    <row r="197" spans="1:20" x14ac:dyDescent="0.25">
      <c r="A197" s="7">
        <f>Data!A197</f>
        <v>201810</v>
      </c>
      <c r="B197" s="7">
        <v>71360</v>
      </c>
      <c r="C197" s="7">
        <f>Data!F197</f>
        <v>163486</v>
      </c>
      <c r="D197" s="7">
        <f>IF(Data!D197="Malawi", 1, 0)</f>
        <v>0</v>
      </c>
      <c r="E197" s="7">
        <f t="shared" si="15"/>
        <v>0</v>
      </c>
      <c r="F197" s="7">
        <f t="shared" si="16"/>
        <v>0</v>
      </c>
      <c r="G197" s="10">
        <f>Data!L197</f>
        <v>1</v>
      </c>
      <c r="H197" s="10">
        <f t="shared" si="17"/>
        <v>0</v>
      </c>
      <c r="I197" s="10">
        <f>Data!H197</f>
        <v>0.33077592311583209</v>
      </c>
      <c r="J197" s="10">
        <f>Data!I197</f>
        <v>0.33079999999999998</v>
      </c>
      <c r="K197" s="10">
        <f t="shared" si="18"/>
        <v>0.33077592311583209</v>
      </c>
      <c r="L197" s="10">
        <f>Data!J197</f>
        <v>0.20596474409103394</v>
      </c>
      <c r="M197" s="21">
        <f>Data!K197</f>
        <v>487.2</v>
      </c>
      <c r="N197" s="21">
        <f>Data!M197</f>
        <v>92.0164794921875</v>
      </c>
      <c r="O197" s="21">
        <f>Data!N197</f>
        <v>92.0164794921875</v>
      </c>
      <c r="P197" s="10">
        <f>Data!O197</f>
        <v>8.3999999999999995E-3</v>
      </c>
      <c r="Q197" s="10">
        <f t="shared" si="19"/>
        <v>0</v>
      </c>
      <c r="R197" s="10">
        <f>Data!Q197</f>
        <v>-0.57999999999999996</v>
      </c>
      <c r="S197" s="10">
        <f>Data!P197</f>
        <v>-1</v>
      </c>
      <c r="T197" s="19"/>
    </row>
    <row r="198" spans="1:20" x14ac:dyDescent="0.25">
      <c r="A198" s="7">
        <f>Data!A198</f>
        <v>201809</v>
      </c>
      <c r="B198" s="7">
        <v>71360</v>
      </c>
      <c r="C198" s="7">
        <f>Data!F198</f>
        <v>1656772</v>
      </c>
      <c r="D198" s="7">
        <f>IF(Data!D198="Malawi", 1, 0)</f>
        <v>0</v>
      </c>
      <c r="E198" s="7">
        <f t="shared" si="15"/>
        <v>0</v>
      </c>
      <c r="F198" s="7">
        <f t="shared" si="16"/>
        <v>0</v>
      </c>
      <c r="G198" s="10">
        <f>Data!L198</f>
        <v>0.99021305360497303</v>
      </c>
      <c r="H198" s="10">
        <f t="shared" si="17"/>
        <v>0</v>
      </c>
      <c r="I198" s="10">
        <f>Data!H198</f>
        <v>0.38734332880552313</v>
      </c>
      <c r="J198" s="10">
        <f>Data!I198</f>
        <v>0.38919999999999999</v>
      </c>
      <c r="K198" s="10">
        <f t="shared" si="18"/>
        <v>0.38736149994697666</v>
      </c>
      <c r="L198" s="10">
        <f>Data!J198</f>
        <v>0.15539689362049103</v>
      </c>
      <c r="M198" s="21">
        <f>Data!K198</f>
        <v>487.2</v>
      </c>
      <c r="N198" s="21">
        <f>Data!M198</f>
        <v>75.053909301757813</v>
      </c>
      <c r="O198" s="21">
        <f>Data!N198</f>
        <v>75.053909301757813</v>
      </c>
      <c r="P198" s="10">
        <f>Data!O198</f>
        <v>4.82E-2</v>
      </c>
      <c r="Q198" s="10">
        <f t="shared" si="19"/>
        <v>0</v>
      </c>
      <c r="R198" s="10">
        <f>Data!Q198</f>
        <v>-0.57999999999999996</v>
      </c>
      <c r="S198" s="10">
        <f>Data!P198</f>
        <v>-1</v>
      </c>
      <c r="T198" s="19"/>
    </row>
    <row r="199" spans="1:20" x14ac:dyDescent="0.25">
      <c r="A199" s="7">
        <f>Data!A199</f>
        <v>201808</v>
      </c>
      <c r="B199" s="7">
        <v>71360</v>
      </c>
      <c r="C199" s="7">
        <f>Data!F199</f>
        <v>2934448</v>
      </c>
      <c r="D199" s="7">
        <f>IF(Data!D199="Malawi", 1, 0)</f>
        <v>0</v>
      </c>
      <c r="E199" s="7">
        <f t="shared" si="15"/>
        <v>0</v>
      </c>
      <c r="F199" s="7">
        <f t="shared" si="16"/>
        <v>0</v>
      </c>
      <c r="G199" s="10">
        <f>Data!L199</f>
        <v>0.98492826628072105</v>
      </c>
      <c r="H199" s="10">
        <f t="shared" si="17"/>
        <v>0</v>
      </c>
      <c r="I199" s="10">
        <f>Data!H199</f>
        <v>0.40097673624158781</v>
      </c>
      <c r="J199" s="10">
        <f>Data!I199</f>
        <v>0.4027</v>
      </c>
      <c r="K199" s="10">
        <f t="shared" si="18"/>
        <v>0.40100270881408273</v>
      </c>
      <c r="L199" s="10">
        <f>Data!J199</f>
        <v>0.14780311286449432</v>
      </c>
      <c r="M199" s="21">
        <f>Data!K199</f>
        <v>487.2</v>
      </c>
      <c r="N199" s="21">
        <f>Data!M199</f>
        <v>112.74168395996094</v>
      </c>
      <c r="O199" s="21">
        <f>Data!N199</f>
        <v>112.74168395996094</v>
      </c>
      <c r="P199" s="10">
        <f>Data!O199</f>
        <v>8.5300000000000001E-2</v>
      </c>
      <c r="Q199" s="10">
        <f t="shared" si="19"/>
        <v>0</v>
      </c>
      <c r="R199" s="10">
        <f>Data!Q199</f>
        <v>-0.57999999999999996</v>
      </c>
      <c r="S199" s="10">
        <f>Data!P199</f>
        <v>-1</v>
      </c>
      <c r="T199" s="19"/>
    </row>
    <row r="200" spans="1:20" x14ac:dyDescent="0.25">
      <c r="A200" s="7">
        <f>Data!A200</f>
        <v>201805</v>
      </c>
      <c r="B200" s="7">
        <v>71360</v>
      </c>
      <c r="C200" s="7">
        <f>Data!F200</f>
        <v>587621</v>
      </c>
      <c r="D200" s="7">
        <f>IF(Data!D200="Malawi", 1, 0)</f>
        <v>0</v>
      </c>
      <c r="E200" s="7">
        <f t="shared" si="15"/>
        <v>0</v>
      </c>
      <c r="F200" s="7">
        <f t="shared" si="16"/>
        <v>0</v>
      </c>
      <c r="G200" s="10">
        <f>Data!L200</f>
        <v>0.91099793808039897</v>
      </c>
      <c r="H200" s="10">
        <f t="shared" si="17"/>
        <v>0</v>
      </c>
      <c r="I200" s="10">
        <f>Data!H200</f>
        <v>0.42550398262128891</v>
      </c>
      <c r="J200" s="10">
        <f>Data!I200</f>
        <v>0.43819999999999998</v>
      </c>
      <c r="K200" s="10">
        <f t="shared" si="18"/>
        <v>0.42663395434616125</v>
      </c>
      <c r="L200" s="10">
        <f>Data!J200</f>
        <v>0.28573828935623169</v>
      </c>
      <c r="M200" s="21">
        <f>Data!K200</f>
        <v>487.2</v>
      </c>
      <c r="N200" s="21">
        <f>Data!M200</f>
        <v>125.66661834716797</v>
      </c>
      <c r="O200" s="21">
        <f>Data!N200</f>
        <v>125.66661834716797</v>
      </c>
      <c r="P200" s="10">
        <f>Data!O200</f>
        <v>0.1178</v>
      </c>
      <c r="Q200" s="10">
        <f t="shared" si="19"/>
        <v>0</v>
      </c>
      <c r="R200" s="10">
        <f>Data!Q200</f>
        <v>-0.57999999999999996</v>
      </c>
      <c r="S200" s="10">
        <f>Data!P200</f>
        <v>-1</v>
      </c>
      <c r="T200" s="19"/>
    </row>
    <row r="201" spans="1:20" x14ac:dyDescent="0.25">
      <c r="A201" s="7">
        <f>Data!A201</f>
        <v>201804</v>
      </c>
      <c r="B201" s="7">
        <v>71360</v>
      </c>
      <c r="C201" s="7">
        <f>Data!F201</f>
        <v>397281</v>
      </c>
      <c r="D201" s="7">
        <f>IF(Data!D201="Malawi", 1, 0)</f>
        <v>0</v>
      </c>
      <c r="E201" s="7">
        <f t="shared" si="15"/>
        <v>0</v>
      </c>
      <c r="F201" s="7">
        <f t="shared" si="16"/>
        <v>0</v>
      </c>
      <c r="G201" s="10">
        <f>Data!L201</f>
        <v>0.80799409381558995</v>
      </c>
      <c r="H201" s="10">
        <f t="shared" si="17"/>
        <v>0</v>
      </c>
      <c r="I201" s="10">
        <f>Data!H201</f>
        <v>0.40129393939393937</v>
      </c>
      <c r="J201" s="10">
        <f>Data!I201</f>
        <v>0.43709999999999999</v>
      </c>
      <c r="K201" s="10">
        <f t="shared" si="18"/>
        <v>0.40816891450749992</v>
      </c>
      <c r="L201" s="10">
        <f>Data!J201</f>
        <v>0.14684921503067017</v>
      </c>
      <c r="M201" s="21">
        <f>Data!K201</f>
        <v>487.2</v>
      </c>
      <c r="N201" s="21">
        <f>Data!M201</f>
        <v>123.26347351074219</v>
      </c>
      <c r="O201" s="21">
        <f>Data!N201</f>
        <v>123.26347351074219</v>
      </c>
      <c r="P201" s="10">
        <f>Data!O201</f>
        <v>0.21940000000000001</v>
      </c>
      <c r="Q201" s="10">
        <f t="shared" si="19"/>
        <v>0</v>
      </c>
      <c r="R201" s="10">
        <f>Data!Q201</f>
        <v>-0.57999999999999996</v>
      </c>
      <c r="S201" s="10">
        <f>Data!P201</f>
        <v>-1</v>
      </c>
      <c r="T201" s="19"/>
    </row>
    <row r="202" spans="1:20" x14ac:dyDescent="0.25">
      <c r="A202" s="7">
        <f>Data!A202</f>
        <v>201803</v>
      </c>
      <c r="B202" s="7">
        <v>71360</v>
      </c>
      <c r="C202" s="7">
        <f>Data!F202</f>
        <v>221627</v>
      </c>
      <c r="D202" s="7">
        <f>IF(Data!D202="Malawi", 1, 0)</f>
        <v>0</v>
      </c>
      <c r="E202" s="7">
        <f t="shared" si="15"/>
        <v>0</v>
      </c>
      <c r="F202" s="7">
        <f t="shared" si="16"/>
        <v>0</v>
      </c>
      <c r="G202" s="10">
        <f>Data!L202</f>
        <v>0.71616870568922797</v>
      </c>
      <c r="H202" s="10">
        <f t="shared" si="17"/>
        <v>0</v>
      </c>
      <c r="I202" s="10">
        <f>Data!H202</f>
        <v>0.35460320000000001</v>
      </c>
      <c r="J202" s="10">
        <f>Data!I202</f>
        <v>0.41760000000000003</v>
      </c>
      <c r="K202" s="10">
        <f t="shared" si="18"/>
        <v>0.37248366328143684</v>
      </c>
      <c r="L202" s="10">
        <f>Data!J202</f>
        <v>0.1322433203458786</v>
      </c>
      <c r="M202" s="21">
        <f>Data!K202</f>
        <v>487.2</v>
      </c>
      <c r="N202" s="21">
        <f>Data!M202</f>
        <v>111.96229553222656</v>
      </c>
      <c r="O202" s="21">
        <f>Data!N202</f>
        <v>111.96229553222656</v>
      </c>
      <c r="P202" s="10">
        <f>Data!O202</f>
        <v>6.1800000000000001E-2</v>
      </c>
      <c r="Q202" s="10">
        <f t="shared" si="19"/>
        <v>0</v>
      </c>
      <c r="R202" s="10">
        <f>Data!Q202</f>
        <v>-0.57999999999999996</v>
      </c>
      <c r="S202" s="10">
        <f>Data!P202</f>
        <v>-1</v>
      </c>
      <c r="T202" s="19"/>
    </row>
    <row r="203" spans="1:20" x14ac:dyDescent="0.25">
      <c r="A203" s="7">
        <f>Data!A203</f>
        <v>201802</v>
      </c>
      <c r="B203" s="7">
        <v>71360</v>
      </c>
      <c r="C203" s="7">
        <f>Data!F203</f>
        <v>478559</v>
      </c>
      <c r="D203" s="7">
        <f>IF(Data!D203="Malawi", 1, 0)</f>
        <v>0</v>
      </c>
      <c r="E203" s="7">
        <f t="shared" si="15"/>
        <v>0</v>
      </c>
      <c r="F203" s="7">
        <f t="shared" si="16"/>
        <v>0</v>
      </c>
      <c r="G203" s="10">
        <f>Data!L203</f>
        <v>0.87948417307437798</v>
      </c>
      <c r="H203" s="10">
        <f t="shared" si="17"/>
        <v>0</v>
      </c>
      <c r="I203" s="10">
        <f>Data!H203</f>
        <v>0.39290558292282429</v>
      </c>
      <c r="J203" s="10">
        <f>Data!I203</f>
        <v>0.40920000000000001</v>
      </c>
      <c r="K203" s="10">
        <f t="shared" si="18"/>
        <v>0.39486931807115105</v>
      </c>
      <c r="L203" s="10">
        <f>Data!J203</f>
        <v>7.9047709703445435E-2</v>
      </c>
      <c r="M203" s="21">
        <f>Data!K203</f>
        <v>487.2</v>
      </c>
      <c r="N203" s="21">
        <f>Data!M203</f>
        <v>64.491371154785156</v>
      </c>
      <c r="O203" s="21">
        <f>Data!N203</f>
        <v>64.491371154785156</v>
      </c>
      <c r="P203" s="10">
        <f>Data!O203</f>
        <v>7.8399999999999997E-2</v>
      </c>
      <c r="Q203" s="10">
        <f t="shared" si="19"/>
        <v>0</v>
      </c>
      <c r="R203" s="10">
        <f>Data!Q203</f>
        <v>-0.57999999999999996</v>
      </c>
      <c r="S203" s="10">
        <f>Data!P203</f>
        <v>-1</v>
      </c>
      <c r="T203" s="19"/>
    </row>
    <row r="204" spans="1:20" x14ac:dyDescent="0.25">
      <c r="A204" s="7">
        <f>Data!A204</f>
        <v>201801</v>
      </c>
      <c r="B204" s="7">
        <v>71360</v>
      </c>
      <c r="C204" s="7">
        <f>Data!F204</f>
        <v>1485773</v>
      </c>
      <c r="D204" s="7">
        <f>IF(Data!D204="Malawi", 1, 0)</f>
        <v>0</v>
      </c>
      <c r="E204" s="7">
        <f t="shared" si="15"/>
        <v>0</v>
      </c>
      <c r="F204" s="7">
        <f t="shared" si="16"/>
        <v>0</v>
      </c>
      <c r="G204" s="10">
        <f>Data!L204</f>
        <v>0.91489724614496004</v>
      </c>
      <c r="H204" s="10">
        <f t="shared" si="17"/>
        <v>0</v>
      </c>
      <c r="I204" s="10">
        <f>Data!H204</f>
        <v>0.43500256181288521</v>
      </c>
      <c r="J204" s="10">
        <f>Data!I204</f>
        <v>0.4415</v>
      </c>
      <c r="K204" s="10">
        <f t="shared" si="18"/>
        <v>0.43555551169561157</v>
      </c>
      <c r="L204" s="10">
        <f>Data!J204</f>
        <v>0.17787419259548187</v>
      </c>
      <c r="M204" s="21">
        <f>Data!K204</f>
        <v>487.2</v>
      </c>
      <c r="N204" s="21">
        <f>Data!M204</f>
        <v>92.426788330078125</v>
      </c>
      <c r="O204" s="21">
        <f>Data!N204</f>
        <v>92.426788330078125</v>
      </c>
      <c r="P204" s="10">
        <f>Data!O204</f>
        <v>9.0499999999999997E-2</v>
      </c>
      <c r="Q204" s="10">
        <f t="shared" si="19"/>
        <v>0</v>
      </c>
      <c r="R204" s="10">
        <f>Data!Q204</f>
        <v>-0.57999999999999996</v>
      </c>
      <c r="S204" s="10">
        <f>Data!P204</f>
        <v>-1</v>
      </c>
      <c r="T204" s="19"/>
    </row>
    <row r="205" spans="1:20" x14ac:dyDescent="0.25">
      <c r="A205" s="7">
        <f>Data!A205</f>
        <v>201712</v>
      </c>
      <c r="B205" s="7">
        <v>71360</v>
      </c>
      <c r="C205" s="7">
        <f>Data!F205</f>
        <v>925674</v>
      </c>
      <c r="D205" s="7">
        <f>IF(Data!D205="Malawi", 1, 0)</f>
        <v>0</v>
      </c>
      <c r="E205" s="7">
        <f t="shared" si="15"/>
        <v>0</v>
      </c>
      <c r="F205" s="7">
        <f t="shared" si="16"/>
        <v>0</v>
      </c>
      <c r="G205" s="10">
        <f>Data!L205</f>
        <v>0.71167316700763605</v>
      </c>
      <c r="H205" s="10">
        <f t="shared" si="17"/>
        <v>0</v>
      </c>
      <c r="I205" s="10">
        <f>Data!H205</f>
        <v>0.46314730869682685</v>
      </c>
      <c r="J205" s="10">
        <f>Data!I205</f>
        <v>0.41210000000000002</v>
      </c>
      <c r="K205" s="10">
        <f t="shared" si="18"/>
        <v>0.44842899984748724</v>
      </c>
      <c r="L205" s="10">
        <f>Data!J205</f>
        <v>6.3967831432819366E-2</v>
      </c>
      <c r="M205" s="21">
        <f>Data!K205</f>
        <v>483.3</v>
      </c>
      <c r="N205" s="21">
        <f>Data!M205</f>
        <v>82.718254089355469</v>
      </c>
      <c r="O205" s="21">
        <f>Data!N205</f>
        <v>82.718254089355469</v>
      </c>
      <c r="P205" s="10">
        <f>Data!O205</f>
        <v>5.4600000000000003E-2</v>
      </c>
      <c r="Q205" s="10">
        <f t="shared" si="19"/>
        <v>0</v>
      </c>
      <c r="R205" s="10">
        <f>Data!Q205</f>
        <v>-0.56999999999999995</v>
      </c>
      <c r="S205" s="10">
        <f>Data!P205</f>
        <v>-0.77</v>
      </c>
      <c r="T205" s="19"/>
    </row>
    <row r="206" spans="1:20" x14ac:dyDescent="0.25">
      <c r="A206" s="7">
        <f>Data!A206</f>
        <v>201711</v>
      </c>
      <c r="B206" s="7">
        <v>71360</v>
      </c>
      <c r="C206" s="7">
        <f>Data!F206</f>
        <v>1168988</v>
      </c>
      <c r="D206" s="7">
        <f>IF(Data!D206="Malawi", 1, 0)</f>
        <v>0</v>
      </c>
      <c r="E206" s="7">
        <f t="shared" si="15"/>
        <v>0</v>
      </c>
      <c r="F206" s="7">
        <f t="shared" si="16"/>
        <v>0</v>
      </c>
      <c r="G206" s="10">
        <f>Data!L206</f>
        <v>0.84818617623733705</v>
      </c>
      <c r="H206" s="10">
        <f t="shared" si="17"/>
        <v>0</v>
      </c>
      <c r="I206" s="10">
        <f>Data!H206</f>
        <v>0.43848012003000753</v>
      </c>
      <c r="J206" s="10">
        <f>Data!I206</f>
        <v>0.45469999999999999</v>
      </c>
      <c r="K206" s="10">
        <f t="shared" si="18"/>
        <v>0.44094252202922352</v>
      </c>
      <c r="L206" s="10">
        <f>Data!J206</f>
        <v>0.15569768846035004</v>
      </c>
      <c r="M206" s="21">
        <f>Data!K206</f>
        <v>483.3</v>
      </c>
      <c r="N206" s="21">
        <f>Data!M206</f>
        <v>92.596015930175781</v>
      </c>
      <c r="O206" s="21">
        <f>Data!N206</f>
        <v>92.596015930175781</v>
      </c>
      <c r="P206" s="10">
        <f>Data!O206</f>
        <v>6.93E-2</v>
      </c>
      <c r="Q206" s="10">
        <f t="shared" si="19"/>
        <v>0</v>
      </c>
      <c r="R206" s="10">
        <f>Data!Q206</f>
        <v>-0.56999999999999995</v>
      </c>
      <c r="S206" s="10">
        <f>Data!P206</f>
        <v>-0.77</v>
      </c>
      <c r="T206" s="19"/>
    </row>
    <row r="207" spans="1:20" x14ac:dyDescent="0.25">
      <c r="A207" s="7">
        <f>Data!A207</f>
        <v>201710</v>
      </c>
      <c r="B207" s="7">
        <v>71360</v>
      </c>
      <c r="C207" s="7">
        <f>Data!F207</f>
        <v>65857</v>
      </c>
      <c r="D207" s="7">
        <f>IF(Data!D207="Malawi", 1, 0)</f>
        <v>0</v>
      </c>
      <c r="E207" s="7">
        <f t="shared" si="15"/>
        <v>0</v>
      </c>
      <c r="F207" s="7">
        <f t="shared" si="16"/>
        <v>0</v>
      </c>
      <c r="G207" s="10">
        <f>Data!L207</f>
        <v>0.66289205620646596</v>
      </c>
      <c r="H207" s="10">
        <f t="shared" si="17"/>
        <v>0</v>
      </c>
      <c r="I207" s="10">
        <f>Data!H207</f>
        <v>0.34300520833333331</v>
      </c>
      <c r="J207" s="10">
        <f>Data!I207</f>
        <v>0.39419999999999999</v>
      </c>
      <c r="K207" s="10">
        <f t="shared" si="18"/>
        <v>0.36026337928502167</v>
      </c>
      <c r="L207" s="10">
        <f>Data!J207</f>
        <v>0.12174336612224579</v>
      </c>
      <c r="M207" s="21">
        <f>Data!K207</f>
        <v>483.3</v>
      </c>
      <c r="N207" s="21">
        <f>Data!M207</f>
        <v>91.461570739746094</v>
      </c>
      <c r="O207" s="21">
        <f>Data!N207</f>
        <v>91.461570739746094</v>
      </c>
      <c r="P207" s="10">
        <f>Data!O207</f>
        <v>5.2499999999999998E-2</v>
      </c>
      <c r="Q207" s="10">
        <f t="shared" si="19"/>
        <v>0</v>
      </c>
      <c r="R207" s="10">
        <f>Data!Q207</f>
        <v>-0.56999999999999995</v>
      </c>
      <c r="S207" s="10">
        <f>Data!P207</f>
        <v>-0.77</v>
      </c>
      <c r="T207" s="19"/>
    </row>
    <row r="208" spans="1:20" x14ac:dyDescent="0.25">
      <c r="A208" s="7">
        <f>Data!A208</f>
        <v>201709</v>
      </c>
      <c r="B208" s="7">
        <v>71360</v>
      </c>
      <c r="C208" s="7">
        <f>Data!F208</f>
        <v>111627</v>
      </c>
      <c r="D208" s="7">
        <f>IF(Data!D208="Malawi", 1, 0)</f>
        <v>0</v>
      </c>
      <c r="E208" s="7">
        <f t="shared" si="15"/>
        <v>0</v>
      </c>
      <c r="F208" s="7">
        <f t="shared" si="16"/>
        <v>0</v>
      </c>
      <c r="G208" s="10">
        <f>Data!L208</f>
        <v>1</v>
      </c>
      <c r="H208" s="10">
        <f t="shared" si="17"/>
        <v>0</v>
      </c>
      <c r="I208" s="10">
        <f>Data!H208</f>
        <v>0.46511249999999998</v>
      </c>
      <c r="J208" s="10">
        <f>Data!I208</f>
        <v>0.46510000000000001</v>
      </c>
      <c r="K208" s="10">
        <f t="shared" si="18"/>
        <v>0.46511249999999998</v>
      </c>
      <c r="L208" s="10">
        <f>Data!J208</f>
        <v>0.28461575508117676</v>
      </c>
      <c r="M208" s="21">
        <f>Data!K208</f>
        <v>483.3</v>
      </c>
      <c r="N208" s="21">
        <f>Data!M208</f>
        <v>115.53444671630859</v>
      </c>
      <c r="O208" s="21">
        <f>Data!N208</f>
        <v>115.53444671630859</v>
      </c>
      <c r="P208" s="10">
        <f>Data!O208</f>
        <v>9.4000000000000004E-3</v>
      </c>
      <c r="Q208" s="10">
        <f t="shared" si="19"/>
        <v>0</v>
      </c>
      <c r="R208" s="10">
        <f>Data!Q208</f>
        <v>-0.56999999999999995</v>
      </c>
      <c r="S208" s="10">
        <f>Data!P208</f>
        <v>-0.77</v>
      </c>
      <c r="T208" s="19"/>
    </row>
    <row r="209" spans="1:20" x14ac:dyDescent="0.25">
      <c r="A209" s="7">
        <f>Data!A209</f>
        <v>201708</v>
      </c>
      <c r="B209" s="7">
        <v>71360</v>
      </c>
      <c r="C209" s="7">
        <f>Data!F209</f>
        <v>380649</v>
      </c>
      <c r="D209" s="7">
        <f>IF(Data!D209="Malawi", 1, 0)</f>
        <v>0</v>
      </c>
      <c r="E209" s="7">
        <f t="shared" si="15"/>
        <v>0</v>
      </c>
      <c r="F209" s="7">
        <f t="shared" si="16"/>
        <v>0</v>
      </c>
      <c r="G209" s="10">
        <f>Data!L209</f>
        <v>0.75737027773964205</v>
      </c>
      <c r="H209" s="10">
        <f t="shared" si="17"/>
        <v>0</v>
      </c>
      <c r="I209" s="10">
        <f>Data!H209</f>
        <v>0.47581125000000002</v>
      </c>
      <c r="J209" s="10">
        <f>Data!I209</f>
        <v>0.5393</v>
      </c>
      <c r="K209" s="10">
        <f t="shared" si="18"/>
        <v>0.49121550777915735</v>
      </c>
      <c r="L209" s="10">
        <f>Data!J209</f>
        <v>0.18158513307571411</v>
      </c>
      <c r="M209" s="21">
        <f>Data!K209</f>
        <v>483.3</v>
      </c>
      <c r="N209" s="21">
        <f>Data!M209</f>
        <v>138.5316162109375</v>
      </c>
      <c r="O209" s="21">
        <f>Data!N209</f>
        <v>138.5316162109375</v>
      </c>
      <c r="P209" s="10">
        <f>Data!O209</f>
        <v>1.7399999999999999E-2</v>
      </c>
      <c r="Q209" s="10">
        <f t="shared" si="19"/>
        <v>0</v>
      </c>
      <c r="R209" s="10">
        <f>Data!Q209</f>
        <v>-0.56999999999999995</v>
      </c>
      <c r="S209" s="10">
        <f>Data!P209</f>
        <v>-0.77</v>
      </c>
      <c r="T209" s="19"/>
    </row>
    <row r="210" spans="1:20" x14ac:dyDescent="0.25">
      <c r="A210" s="7">
        <f>Data!A210</f>
        <v>201707</v>
      </c>
      <c r="B210" s="7">
        <v>71360</v>
      </c>
      <c r="C210" s="7">
        <f>Data!F210</f>
        <v>919552</v>
      </c>
      <c r="D210" s="7">
        <f>IF(Data!D210="Malawi", 1, 0)</f>
        <v>0</v>
      </c>
      <c r="E210" s="7">
        <f t="shared" si="15"/>
        <v>0</v>
      </c>
      <c r="F210" s="7">
        <f t="shared" si="16"/>
        <v>0</v>
      </c>
      <c r="G210" s="10">
        <f>Data!L210</f>
        <v>0.88427219234212595</v>
      </c>
      <c r="H210" s="10">
        <f t="shared" si="17"/>
        <v>0</v>
      </c>
      <c r="I210" s="10">
        <f>Data!H210</f>
        <v>0.53932668621700874</v>
      </c>
      <c r="J210" s="10">
        <f>Data!I210</f>
        <v>0.56610000000000005</v>
      </c>
      <c r="K210" s="10">
        <f t="shared" si="18"/>
        <v>0.54242510312485059</v>
      </c>
      <c r="L210" s="10">
        <f>Data!J210</f>
        <v>0.14306151866912842</v>
      </c>
      <c r="M210" s="21">
        <f>Data!K210</f>
        <v>483.3</v>
      </c>
      <c r="N210" s="21">
        <f>Data!M210</f>
        <v>102.81346130371094</v>
      </c>
      <c r="O210" s="21">
        <f>Data!N210</f>
        <v>102.81346130371094</v>
      </c>
      <c r="P210" s="10">
        <f>Data!O210</f>
        <v>2.87E-2</v>
      </c>
      <c r="Q210" s="10">
        <f t="shared" si="19"/>
        <v>0</v>
      </c>
      <c r="R210" s="10">
        <f>Data!Q210</f>
        <v>-0.56999999999999995</v>
      </c>
      <c r="S210" s="10">
        <f>Data!P210</f>
        <v>-0.77</v>
      </c>
      <c r="T210" s="19"/>
    </row>
    <row r="211" spans="1:20" x14ac:dyDescent="0.25">
      <c r="A211" s="7">
        <f>Data!A211</f>
        <v>201706</v>
      </c>
      <c r="B211" s="7">
        <v>71360</v>
      </c>
      <c r="C211" s="7">
        <f>Data!F211</f>
        <v>836864</v>
      </c>
      <c r="D211" s="7">
        <f>IF(Data!D211="Malawi", 1, 0)</f>
        <v>0</v>
      </c>
      <c r="E211" s="7">
        <f t="shared" si="15"/>
        <v>0</v>
      </c>
      <c r="F211" s="7">
        <f t="shared" si="16"/>
        <v>0</v>
      </c>
      <c r="G211" s="10">
        <f>Data!L211</f>
        <v>0.980599258748027</v>
      </c>
      <c r="H211" s="10">
        <f t="shared" si="17"/>
        <v>0</v>
      </c>
      <c r="I211" s="10">
        <f>Data!H211</f>
        <v>0.53713992297817714</v>
      </c>
      <c r="J211" s="10">
        <f>Data!I211</f>
        <v>0.54010000000000002</v>
      </c>
      <c r="K211" s="10">
        <f t="shared" si="18"/>
        <v>0.53719735066656338</v>
      </c>
      <c r="L211" s="10">
        <f>Data!J211</f>
        <v>0.2270381897687912</v>
      </c>
      <c r="M211" s="21">
        <f>Data!K211</f>
        <v>483.3</v>
      </c>
      <c r="N211" s="21">
        <f>Data!M211</f>
        <v>126.78901672363281</v>
      </c>
      <c r="O211" s="21">
        <f>Data!N211</f>
        <v>126.78901672363281</v>
      </c>
      <c r="P211" s="10">
        <f>Data!O211</f>
        <v>2.5899999999999999E-2</v>
      </c>
      <c r="Q211" s="10">
        <f t="shared" si="19"/>
        <v>0</v>
      </c>
      <c r="R211" s="10">
        <f>Data!Q211</f>
        <v>-0.56999999999999995</v>
      </c>
      <c r="S211" s="10">
        <f>Data!P211</f>
        <v>-0.77</v>
      </c>
      <c r="T211" s="19"/>
    </row>
    <row r="212" spans="1:20" x14ac:dyDescent="0.25">
      <c r="A212" s="7">
        <f>Data!A212</f>
        <v>201705</v>
      </c>
      <c r="B212" s="7">
        <v>71360</v>
      </c>
      <c r="C212" s="7">
        <f>Data!F212</f>
        <v>1205656</v>
      </c>
      <c r="D212" s="7">
        <f>IF(Data!D212="Malawi", 1, 0)</f>
        <v>0</v>
      </c>
      <c r="E212" s="7">
        <f t="shared" si="15"/>
        <v>0</v>
      </c>
      <c r="F212" s="7">
        <f t="shared" si="16"/>
        <v>0</v>
      </c>
      <c r="G212" s="10">
        <f>Data!L212</f>
        <v>0.97852872022082404</v>
      </c>
      <c r="H212" s="10">
        <f t="shared" si="17"/>
        <v>0</v>
      </c>
      <c r="I212" s="10">
        <f>Data!H212</f>
        <v>0.58526990291262138</v>
      </c>
      <c r="J212" s="10">
        <f>Data!I212</f>
        <v>0.59240000000000004</v>
      </c>
      <c r="K212" s="10">
        <f t="shared" si="18"/>
        <v>0.58542299522203722</v>
      </c>
      <c r="L212" s="10">
        <f>Data!J212</f>
        <v>9.1389112174510956E-2</v>
      </c>
      <c r="M212" s="21">
        <f>Data!K212</f>
        <v>483.3</v>
      </c>
      <c r="N212" s="21">
        <f>Data!M212</f>
        <v>102.57996368408203</v>
      </c>
      <c r="O212" s="21">
        <f>Data!N212</f>
        <v>102.57996368408203</v>
      </c>
      <c r="P212" s="10">
        <f>Data!O212</f>
        <v>5.1700000000000003E-2</v>
      </c>
      <c r="Q212" s="10">
        <f t="shared" si="19"/>
        <v>0</v>
      </c>
      <c r="R212" s="10">
        <f>Data!Q212</f>
        <v>-0.56999999999999995</v>
      </c>
      <c r="S212" s="10">
        <f>Data!P212</f>
        <v>-0.77</v>
      </c>
      <c r="T212" s="19"/>
    </row>
    <row r="213" spans="1:20" x14ac:dyDescent="0.25">
      <c r="A213" s="7">
        <f>Data!A213</f>
        <v>201704</v>
      </c>
      <c r="B213" s="7">
        <v>71360</v>
      </c>
      <c r="C213" s="7">
        <f>Data!F213</f>
        <v>517062</v>
      </c>
      <c r="D213" s="7">
        <f>IF(Data!D213="Malawi", 1, 0)</f>
        <v>0</v>
      </c>
      <c r="E213" s="7">
        <f t="shared" si="15"/>
        <v>0</v>
      </c>
      <c r="F213" s="7">
        <f t="shared" si="16"/>
        <v>0</v>
      </c>
      <c r="G213" s="10">
        <f>Data!L213</f>
        <v>0.74515348032857698</v>
      </c>
      <c r="H213" s="10">
        <f t="shared" si="17"/>
        <v>0</v>
      </c>
      <c r="I213" s="10">
        <f>Data!H213</f>
        <v>0.57727140783744557</v>
      </c>
      <c r="J213" s="10">
        <f>Data!I213</f>
        <v>0.63180000000000003</v>
      </c>
      <c r="K213" s="10">
        <f t="shared" si="18"/>
        <v>0.59116782977265503</v>
      </c>
      <c r="L213" s="10">
        <f>Data!J213</f>
        <v>0.14710518717765808</v>
      </c>
      <c r="M213" s="21">
        <f>Data!K213</f>
        <v>483.3</v>
      </c>
      <c r="N213" s="21">
        <f>Data!M213</f>
        <v>119.45992279052734</v>
      </c>
      <c r="O213" s="21">
        <f>Data!N213</f>
        <v>119.45992279052734</v>
      </c>
      <c r="P213" s="10">
        <f>Data!O213</f>
        <v>1.37E-2</v>
      </c>
      <c r="Q213" s="10">
        <f t="shared" si="19"/>
        <v>0</v>
      </c>
      <c r="R213" s="10">
        <f>Data!Q213</f>
        <v>-0.56999999999999995</v>
      </c>
      <c r="S213" s="10">
        <f>Data!P213</f>
        <v>-0.77</v>
      </c>
      <c r="T213" s="19"/>
    </row>
    <row r="214" spans="1:20" x14ac:dyDescent="0.25">
      <c r="A214" s="7">
        <f>Data!A214</f>
        <v>201703</v>
      </c>
      <c r="B214" s="7">
        <v>71360</v>
      </c>
      <c r="C214" s="7">
        <f>Data!F214</f>
        <v>9623067</v>
      </c>
      <c r="D214" s="7">
        <f>IF(Data!D214="Malawi", 1, 0)</f>
        <v>0</v>
      </c>
      <c r="E214" s="7">
        <f t="shared" si="15"/>
        <v>0</v>
      </c>
      <c r="F214" s="7">
        <f t="shared" si="16"/>
        <v>0</v>
      </c>
      <c r="G214" s="10">
        <f>Data!L214</f>
        <v>0.97839036131054802</v>
      </c>
      <c r="H214" s="10">
        <f t="shared" si="17"/>
        <v>0</v>
      </c>
      <c r="I214" s="10">
        <f>Data!H214</f>
        <v>0.57350483330750801</v>
      </c>
      <c r="J214" s="10">
        <f>Data!I214</f>
        <v>0.57809999999999995</v>
      </c>
      <c r="K214" s="10">
        <f t="shared" si="18"/>
        <v>0.57360413319945047</v>
      </c>
      <c r="L214" s="10">
        <f>Data!J214</f>
        <v>0.14420303702354431</v>
      </c>
      <c r="M214" s="21">
        <f>Data!K214</f>
        <v>483.3</v>
      </c>
      <c r="N214" s="21">
        <f>Data!M214</f>
        <v>96.635879516601563</v>
      </c>
      <c r="O214" s="21">
        <f>Data!N214</f>
        <v>96.635879516601563</v>
      </c>
      <c r="P214" s="10">
        <f>Data!O214</f>
        <v>0.35670000000000002</v>
      </c>
      <c r="Q214" s="10">
        <f t="shared" si="19"/>
        <v>0</v>
      </c>
      <c r="R214" s="10">
        <f>Data!Q214</f>
        <v>-0.56999999999999995</v>
      </c>
      <c r="S214" s="10">
        <f>Data!P214</f>
        <v>-0.77</v>
      </c>
      <c r="T214" s="19"/>
    </row>
    <row r="215" spans="1:20" x14ac:dyDescent="0.25">
      <c r="A215" s="7">
        <f>Data!A215</f>
        <v>201702</v>
      </c>
      <c r="B215" s="7">
        <v>71360</v>
      </c>
      <c r="C215" s="7">
        <f>Data!F215</f>
        <v>3374535</v>
      </c>
      <c r="D215" s="7">
        <f>IF(Data!D215="Malawi", 1, 0)</f>
        <v>0</v>
      </c>
      <c r="E215" s="7">
        <f t="shared" si="15"/>
        <v>0</v>
      </c>
      <c r="F215" s="7">
        <f t="shared" si="16"/>
        <v>0</v>
      </c>
      <c r="G215" s="10">
        <f>Data!L215</f>
        <v>0.95135898155885301</v>
      </c>
      <c r="H215" s="10">
        <f t="shared" si="17"/>
        <v>0</v>
      </c>
      <c r="I215" s="10">
        <f>Data!H215</f>
        <v>0.68567344442435119</v>
      </c>
      <c r="J215" s="10">
        <f>Data!I215</f>
        <v>0.69379999999999997</v>
      </c>
      <c r="K215" s="10">
        <f t="shared" si="18"/>
        <v>0.68606872836396926</v>
      </c>
      <c r="L215" s="10">
        <f>Data!J215</f>
        <v>0.16521643102169037</v>
      </c>
      <c r="M215" s="21">
        <f>Data!K215</f>
        <v>483.3</v>
      </c>
      <c r="N215" s="21">
        <f>Data!M215</f>
        <v>114.20635986328125</v>
      </c>
      <c r="O215" s="21">
        <f>Data!N215</f>
        <v>114.20635986328125</v>
      </c>
      <c r="P215" s="10">
        <f>Data!O215</f>
        <v>0.12520000000000001</v>
      </c>
      <c r="Q215" s="10">
        <f t="shared" si="19"/>
        <v>0</v>
      </c>
      <c r="R215" s="10">
        <f>Data!Q215</f>
        <v>-0.56999999999999995</v>
      </c>
      <c r="S215" s="10">
        <f>Data!P215</f>
        <v>-0.77</v>
      </c>
      <c r="T215" s="19"/>
    </row>
    <row r="216" spans="1:20" x14ac:dyDescent="0.25">
      <c r="A216" s="7">
        <f>Data!A216</f>
        <v>201701</v>
      </c>
      <c r="B216" s="7">
        <v>71360</v>
      </c>
      <c r="C216" s="7">
        <f>Data!F216</f>
        <v>5654336</v>
      </c>
      <c r="D216" s="7">
        <f>IF(Data!D216="Malawi", 1, 0)</f>
        <v>0</v>
      </c>
      <c r="E216" s="7">
        <f t="shared" si="15"/>
        <v>0</v>
      </c>
      <c r="F216" s="7">
        <f t="shared" si="16"/>
        <v>0</v>
      </c>
      <c r="G216" s="10">
        <f>Data!L216</f>
        <v>0.94784274657575696</v>
      </c>
      <c r="H216" s="10">
        <f t="shared" si="17"/>
        <v>0</v>
      </c>
      <c r="I216" s="10">
        <f>Data!H216</f>
        <v>0.58460514099374905</v>
      </c>
      <c r="J216" s="10">
        <f>Data!I216</f>
        <v>0.58720000000000006</v>
      </c>
      <c r="K216" s="10">
        <f t="shared" si="18"/>
        <v>0.58474048171253834</v>
      </c>
      <c r="L216" s="10">
        <f>Data!J216</f>
        <v>0.18233387172222137</v>
      </c>
      <c r="M216" s="21">
        <f>Data!K216</f>
        <v>483.3</v>
      </c>
      <c r="N216" s="21">
        <f>Data!M216</f>
        <v>105.20123291015625</v>
      </c>
      <c r="O216" s="21">
        <f>Data!N216</f>
        <v>105.20123291015625</v>
      </c>
      <c r="P216" s="10">
        <f>Data!O216</f>
        <v>0.17299999999999999</v>
      </c>
      <c r="Q216" s="10">
        <f t="shared" si="19"/>
        <v>0</v>
      </c>
      <c r="R216" s="10">
        <f>Data!Q216</f>
        <v>-0.56999999999999995</v>
      </c>
      <c r="S216" s="10">
        <f>Data!P216</f>
        <v>-0.77</v>
      </c>
      <c r="T216" s="19"/>
    </row>
    <row r="217" spans="1:20" x14ac:dyDescent="0.25">
      <c r="A217" s="7">
        <f>Data!A217</f>
        <v>201612</v>
      </c>
      <c r="B217" s="7">
        <v>71360</v>
      </c>
      <c r="C217" s="7">
        <f>Data!F217</f>
        <v>29196570</v>
      </c>
      <c r="D217" s="7">
        <f>IF(Data!D217="Malawi", 1, 0)</f>
        <v>0</v>
      </c>
      <c r="E217" s="7">
        <f t="shared" si="15"/>
        <v>0</v>
      </c>
      <c r="F217" s="7">
        <f t="shared" si="16"/>
        <v>0</v>
      </c>
      <c r="G217" s="10">
        <f>Data!L217</f>
        <v>0.99745901627303002</v>
      </c>
      <c r="H217" s="10">
        <f t="shared" si="17"/>
        <v>0</v>
      </c>
      <c r="I217" s="10">
        <f>Data!H217</f>
        <v>0.63531280602500484</v>
      </c>
      <c r="J217" s="10">
        <f>Data!I217</f>
        <v>0.63570000000000004</v>
      </c>
      <c r="K217" s="10">
        <f t="shared" si="18"/>
        <v>0.63531378987859455</v>
      </c>
      <c r="L217" s="10">
        <f>Data!J217</f>
        <v>0.16102194786071777</v>
      </c>
      <c r="M217" s="21">
        <f>Data!K217</f>
        <v>452.2</v>
      </c>
      <c r="N217" s="21">
        <f>Data!M217</f>
        <v>102.18046569824219</v>
      </c>
      <c r="O217" s="21">
        <f>Data!N217</f>
        <v>102.18046569824219</v>
      </c>
      <c r="P217" s="10">
        <f>Data!O217</f>
        <v>0.3926</v>
      </c>
      <c r="Q217" s="10">
        <f t="shared" si="19"/>
        <v>0</v>
      </c>
      <c r="R217" s="10">
        <f>Data!Q217</f>
        <v>-0.45</v>
      </c>
      <c r="S217" s="10">
        <f>Data!P217</f>
        <v>-0.96</v>
      </c>
      <c r="T217" s="19"/>
    </row>
    <row r="218" spans="1:20" x14ac:dyDescent="0.25">
      <c r="A218" s="7">
        <f>Data!A218</f>
        <v>201611</v>
      </c>
      <c r="B218" s="7">
        <v>71360</v>
      </c>
      <c r="C218" s="7">
        <f>Data!F218</f>
        <v>41308666</v>
      </c>
      <c r="D218" s="7">
        <f>IF(Data!D218="Malawi", 1, 0)</f>
        <v>0</v>
      </c>
      <c r="E218" s="7">
        <f t="shared" si="15"/>
        <v>0</v>
      </c>
      <c r="F218" s="7">
        <f t="shared" si="16"/>
        <v>0</v>
      </c>
      <c r="G218" s="10">
        <f>Data!L218</f>
        <v>0.99806498161312096</v>
      </c>
      <c r="H218" s="10">
        <f t="shared" si="17"/>
        <v>0</v>
      </c>
      <c r="I218" s="10">
        <f>Data!H218</f>
        <v>0.63822754824594463</v>
      </c>
      <c r="J218" s="10">
        <f>Data!I218</f>
        <v>0.63859999999999995</v>
      </c>
      <c r="K218" s="10">
        <f t="shared" si="18"/>
        <v>0.63822826894693696</v>
      </c>
      <c r="L218" s="10">
        <f>Data!J218</f>
        <v>0.1230706125497818</v>
      </c>
      <c r="M218" s="21">
        <f>Data!K218</f>
        <v>452.2</v>
      </c>
      <c r="N218" s="21">
        <f>Data!M218</f>
        <v>82.918754577636719</v>
      </c>
      <c r="O218" s="21">
        <f>Data!N218</f>
        <v>82.918754577636719</v>
      </c>
      <c r="P218" s="10">
        <f>Data!O218</f>
        <v>0.42549999999999999</v>
      </c>
      <c r="Q218" s="10">
        <f t="shared" si="19"/>
        <v>0</v>
      </c>
      <c r="R218" s="10">
        <f>Data!Q218</f>
        <v>-0.45</v>
      </c>
      <c r="S218" s="10">
        <f>Data!P218</f>
        <v>-0.96</v>
      </c>
      <c r="T218" s="19"/>
    </row>
    <row r="219" spans="1:20" x14ac:dyDescent="0.25">
      <c r="A219" s="7">
        <f>Data!A219</f>
        <v>201610</v>
      </c>
      <c r="B219" s="7">
        <v>71360</v>
      </c>
      <c r="C219" s="7">
        <f>Data!F219</f>
        <v>28337788</v>
      </c>
      <c r="D219" s="7">
        <f>IF(Data!D219="Malawi", 1, 0)</f>
        <v>0</v>
      </c>
      <c r="E219" s="7">
        <f t="shared" si="15"/>
        <v>0</v>
      </c>
      <c r="F219" s="7">
        <f t="shared" si="16"/>
        <v>0</v>
      </c>
      <c r="G219" s="10">
        <f>Data!L219</f>
        <v>1</v>
      </c>
      <c r="H219" s="10">
        <f t="shared" si="17"/>
        <v>0</v>
      </c>
      <c r="I219" s="10">
        <f>Data!H219</f>
        <v>0.67836791855425782</v>
      </c>
      <c r="J219" s="10">
        <f>Data!I219</f>
        <v>0.6784</v>
      </c>
      <c r="K219" s="10">
        <f t="shared" si="18"/>
        <v>0.67836791855425782</v>
      </c>
      <c r="L219" s="10">
        <f>Data!J219</f>
        <v>0.16687935590744019</v>
      </c>
      <c r="M219" s="21">
        <f>Data!K219</f>
        <v>452.2</v>
      </c>
      <c r="N219" s="21">
        <f>Data!M219</f>
        <v>85.747787475585938</v>
      </c>
      <c r="O219" s="21">
        <f>Data!N219</f>
        <v>85.747787475585938</v>
      </c>
      <c r="P219" s="10">
        <f>Data!O219</f>
        <v>0.34439999999999998</v>
      </c>
      <c r="Q219" s="10">
        <f t="shared" si="19"/>
        <v>0</v>
      </c>
      <c r="R219" s="10">
        <f>Data!Q219</f>
        <v>-0.45</v>
      </c>
      <c r="S219" s="10">
        <f>Data!P219</f>
        <v>-0.96</v>
      </c>
      <c r="T219" s="19"/>
    </row>
    <row r="220" spans="1:20" x14ac:dyDescent="0.25">
      <c r="A220" s="7">
        <f>Data!A220</f>
        <v>201609</v>
      </c>
      <c r="B220" s="7">
        <v>71360</v>
      </c>
      <c r="C220" s="7">
        <f>Data!F220</f>
        <v>6090058</v>
      </c>
      <c r="D220" s="7">
        <f>IF(Data!D220="Malawi", 1, 0)</f>
        <v>0</v>
      </c>
      <c r="E220" s="7">
        <f t="shared" si="15"/>
        <v>0</v>
      </c>
      <c r="F220" s="7">
        <f t="shared" si="16"/>
        <v>0</v>
      </c>
      <c r="G220" s="10">
        <f>Data!L220</f>
        <v>1</v>
      </c>
      <c r="H220" s="10">
        <f t="shared" si="17"/>
        <v>0</v>
      </c>
      <c r="I220" s="10">
        <f>Data!H220</f>
        <v>0.91233721340113227</v>
      </c>
      <c r="J220" s="10">
        <f>Data!I220</f>
        <v>0.9123</v>
      </c>
      <c r="K220" s="10">
        <f t="shared" si="18"/>
        <v>0.91233721340113227</v>
      </c>
      <c r="L220" s="10">
        <f>Data!J220</f>
        <v>0.17644686996936798</v>
      </c>
      <c r="M220" s="21">
        <f>Data!K220</f>
        <v>452.2</v>
      </c>
      <c r="N220" s="21">
        <f>Data!M220</f>
        <v>104.54522705078125</v>
      </c>
      <c r="O220" s="21">
        <f>Data!N220</f>
        <v>104.54522705078125</v>
      </c>
      <c r="P220" s="10">
        <f>Data!O220</f>
        <v>0.15260000000000001</v>
      </c>
      <c r="Q220" s="10">
        <f t="shared" si="19"/>
        <v>0</v>
      </c>
      <c r="R220" s="10">
        <f>Data!Q220</f>
        <v>-0.45</v>
      </c>
      <c r="S220" s="10">
        <f>Data!P220</f>
        <v>-0.96</v>
      </c>
      <c r="T220" s="19"/>
    </row>
    <row r="221" spans="1:20" x14ac:dyDescent="0.25">
      <c r="A221" s="7">
        <f>Data!A221</f>
        <v>201608</v>
      </c>
      <c r="B221" s="7">
        <v>71360</v>
      </c>
      <c r="C221" s="7">
        <f>Data!F221</f>
        <v>642390</v>
      </c>
      <c r="D221" s="7">
        <f>IF(Data!D221="Malawi", 1, 0)</f>
        <v>0</v>
      </c>
      <c r="E221" s="7">
        <f t="shared" si="15"/>
        <v>0</v>
      </c>
      <c r="F221" s="7">
        <f t="shared" si="16"/>
        <v>0</v>
      </c>
      <c r="G221" s="10">
        <f>Data!L221</f>
        <v>1</v>
      </c>
      <c r="H221" s="10">
        <f t="shared" si="17"/>
        <v>0</v>
      </c>
      <c r="I221" s="10">
        <f>Data!H221</f>
        <v>1.3109999999999999</v>
      </c>
      <c r="J221" s="10">
        <f>Data!I221</f>
        <v>1.3109999999999999</v>
      </c>
      <c r="K221" s="10">
        <f t="shared" si="18"/>
        <v>1.3109999999999999</v>
      </c>
      <c r="L221" s="10">
        <f>Data!J221</f>
        <v>0.12921231985092163</v>
      </c>
      <c r="M221" s="21">
        <f>Data!K221</f>
        <v>452.2</v>
      </c>
      <c r="N221" s="21">
        <f>Data!M221</f>
        <v>98.738487243652344</v>
      </c>
      <c r="O221" s="21">
        <f>Data!N221</f>
        <v>98.738487243652344</v>
      </c>
      <c r="P221" s="10">
        <f>Data!O221</f>
        <v>1.6400000000000001E-2</v>
      </c>
      <c r="Q221" s="10">
        <f t="shared" si="19"/>
        <v>0</v>
      </c>
      <c r="R221" s="10">
        <f>Data!Q221</f>
        <v>-0.45</v>
      </c>
      <c r="S221" s="10">
        <f>Data!P221</f>
        <v>-0.96</v>
      </c>
      <c r="T221" s="19"/>
    </row>
    <row r="222" spans="1:20" x14ac:dyDescent="0.25">
      <c r="A222" s="7">
        <f>Data!A222</f>
        <v>201607</v>
      </c>
      <c r="B222" s="7">
        <v>71360</v>
      </c>
      <c r="C222" s="7">
        <f>Data!F222</f>
        <v>385735</v>
      </c>
      <c r="D222" s="7">
        <f>IF(Data!D222="Malawi", 1, 0)</f>
        <v>0</v>
      </c>
      <c r="E222" s="7">
        <f t="shared" si="15"/>
        <v>0</v>
      </c>
      <c r="F222" s="7">
        <f t="shared" si="16"/>
        <v>0</v>
      </c>
      <c r="G222" s="10">
        <f>Data!L222</f>
        <v>1</v>
      </c>
      <c r="H222" s="10">
        <f t="shared" si="17"/>
        <v>0</v>
      </c>
      <c r="I222" s="10">
        <f>Data!H222</f>
        <v>1.3393576388888888</v>
      </c>
      <c r="J222" s="10">
        <f>Data!I222</f>
        <v>1.3393999999999999</v>
      </c>
      <c r="K222" s="10">
        <f t="shared" si="18"/>
        <v>1.3393576388888888</v>
      </c>
      <c r="L222" s="10">
        <f>Data!J222</f>
        <v>0.27500858902931213</v>
      </c>
      <c r="M222" s="21">
        <f>Data!K222</f>
        <v>452.2</v>
      </c>
      <c r="N222" s="21">
        <f>Data!M222</f>
        <v>114.61045074462891</v>
      </c>
      <c r="O222" s="21">
        <f>Data!N222</f>
        <v>114.61045074462891</v>
      </c>
      <c r="P222" s="10">
        <f>Data!O222</f>
        <v>8.8999999999999999E-3</v>
      </c>
      <c r="Q222" s="10">
        <f t="shared" si="19"/>
        <v>0</v>
      </c>
      <c r="R222" s="10">
        <f>Data!Q222</f>
        <v>-0.45</v>
      </c>
      <c r="S222" s="10">
        <f>Data!P222</f>
        <v>-0.96</v>
      </c>
      <c r="T222" s="19"/>
    </row>
    <row r="223" spans="1:20" x14ac:dyDescent="0.25">
      <c r="A223" s="7">
        <f>Data!A223</f>
        <v>201606</v>
      </c>
      <c r="B223" s="7">
        <v>71360</v>
      </c>
      <c r="C223" s="7">
        <f>Data!F223</f>
        <v>1733108</v>
      </c>
      <c r="D223" s="7">
        <f>IF(Data!D223="Malawi", 1, 0)</f>
        <v>0</v>
      </c>
      <c r="E223" s="7">
        <f t="shared" si="15"/>
        <v>0</v>
      </c>
      <c r="F223" s="7">
        <f t="shared" si="16"/>
        <v>0</v>
      </c>
      <c r="G223" s="10">
        <f>Data!L223</f>
        <v>1</v>
      </c>
      <c r="H223" s="10">
        <f t="shared" si="17"/>
        <v>0</v>
      </c>
      <c r="I223" s="10">
        <f>Data!H223</f>
        <v>1.3646519685039371</v>
      </c>
      <c r="J223" s="10">
        <f>Data!I223</f>
        <v>1.3647</v>
      </c>
      <c r="K223" s="10">
        <f t="shared" si="18"/>
        <v>1.3646519685039371</v>
      </c>
      <c r="L223" s="10">
        <f>Data!J223</f>
        <v>0.10855713486671448</v>
      </c>
      <c r="M223" s="21">
        <f>Data!K223</f>
        <v>452.2</v>
      </c>
      <c r="N223" s="21">
        <f>Data!M223</f>
        <v>90.168128967285156</v>
      </c>
      <c r="O223" s="21">
        <f>Data!N223</f>
        <v>90.168128967285156</v>
      </c>
      <c r="P223" s="10">
        <f>Data!O223</f>
        <v>4.5199999999999997E-2</v>
      </c>
      <c r="Q223" s="10">
        <f t="shared" si="19"/>
        <v>0</v>
      </c>
      <c r="R223" s="10">
        <f>Data!Q223</f>
        <v>-0.45</v>
      </c>
      <c r="S223" s="10">
        <f>Data!P223</f>
        <v>-0.96</v>
      </c>
      <c r="T223" s="19"/>
    </row>
    <row r="224" spans="1:20" x14ac:dyDescent="0.25">
      <c r="A224" s="7">
        <f>Data!A224</f>
        <v>201605</v>
      </c>
      <c r="B224" s="7">
        <v>71360</v>
      </c>
      <c r="C224" s="7">
        <f>Data!F224</f>
        <v>2553554</v>
      </c>
      <c r="D224" s="7">
        <f>IF(Data!D224="Malawi", 1, 0)</f>
        <v>0</v>
      </c>
      <c r="E224" s="7">
        <f t="shared" si="15"/>
        <v>0</v>
      </c>
      <c r="F224" s="7">
        <f t="shared" si="16"/>
        <v>0</v>
      </c>
      <c r="G224" s="10">
        <f>Data!L224</f>
        <v>1</v>
      </c>
      <c r="H224" s="10">
        <f t="shared" si="17"/>
        <v>0</v>
      </c>
      <c r="I224" s="10">
        <f>Data!H224</f>
        <v>1.1544095840867992</v>
      </c>
      <c r="J224" s="10">
        <f>Data!I224</f>
        <v>1.1544000000000001</v>
      </c>
      <c r="K224" s="10">
        <f t="shared" si="18"/>
        <v>1.1544095840867992</v>
      </c>
      <c r="L224" s="10">
        <f>Data!J224</f>
        <v>8.1941090524196625E-2</v>
      </c>
      <c r="M224" s="21">
        <f>Data!K224</f>
        <v>452.2</v>
      </c>
      <c r="N224" s="21">
        <f>Data!M224</f>
        <v>88.332420349121094</v>
      </c>
      <c r="O224" s="21">
        <f>Data!N224</f>
        <v>88.332420349121094</v>
      </c>
      <c r="P224" s="10">
        <f>Data!O224</f>
        <v>4.8000000000000001E-2</v>
      </c>
      <c r="Q224" s="10">
        <f t="shared" si="19"/>
        <v>0</v>
      </c>
      <c r="R224" s="10">
        <f>Data!Q224</f>
        <v>-0.45</v>
      </c>
      <c r="S224" s="10">
        <f>Data!P224</f>
        <v>-0.96</v>
      </c>
      <c r="T224" s="19"/>
    </row>
    <row r="225" spans="1:20" x14ac:dyDescent="0.25">
      <c r="A225" s="7">
        <f>Data!A225</f>
        <v>201603</v>
      </c>
      <c r="B225" s="7">
        <v>71360</v>
      </c>
      <c r="C225" s="7">
        <f>Data!F225</f>
        <v>71836</v>
      </c>
      <c r="D225" s="7">
        <f>IF(Data!D225="Malawi", 1, 0)</f>
        <v>0</v>
      </c>
      <c r="E225" s="7">
        <f t="shared" si="15"/>
        <v>0</v>
      </c>
      <c r="F225" s="7">
        <f t="shared" si="16"/>
        <v>0</v>
      </c>
      <c r="G225" s="10">
        <f>Data!L225</f>
        <v>1</v>
      </c>
      <c r="H225" s="10">
        <f t="shared" si="17"/>
        <v>0</v>
      </c>
      <c r="I225" s="10">
        <f>Data!H225</f>
        <v>1.0262285714285715</v>
      </c>
      <c r="J225" s="10">
        <f>Data!I225</f>
        <v>1.0262</v>
      </c>
      <c r="K225" s="10">
        <f t="shared" si="18"/>
        <v>1.0262285714285715</v>
      </c>
      <c r="L225" s="10">
        <f>Data!J225</f>
        <v>0.15390883386135101</v>
      </c>
      <c r="M225" s="21">
        <f>Data!K225</f>
        <v>452.2</v>
      </c>
      <c r="N225" s="21">
        <f>Data!M225</f>
        <v>109.72029113769531</v>
      </c>
      <c r="O225" s="21">
        <f>Data!N225</f>
        <v>109.72029113769531</v>
      </c>
      <c r="P225" s="10">
        <f>Data!O225</f>
        <v>1.4E-3</v>
      </c>
      <c r="Q225" s="10">
        <f t="shared" si="19"/>
        <v>0</v>
      </c>
      <c r="R225" s="10">
        <f>Data!Q225</f>
        <v>-0.45</v>
      </c>
      <c r="S225" s="10">
        <f>Data!P225</f>
        <v>-0.96</v>
      </c>
      <c r="T225" s="19"/>
    </row>
    <row r="226" spans="1:20" x14ac:dyDescent="0.25">
      <c r="A226" s="7">
        <f>Data!A226</f>
        <v>201602</v>
      </c>
      <c r="B226" s="7">
        <v>71360</v>
      </c>
      <c r="C226" s="7">
        <f>Data!F226</f>
        <v>865621</v>
      </c>
      <c r="D226" s="7">
        <f>IF(Data!D226="Malawi", 1, 0)</f>
        <v>0</v>
      </c>
      <c r="E226" s="7">
        <f t="shared" si="15"/>
        <v>0</v>
      </c>
      <c r="F226" s="7">
        <f t="shared" si="16"/>
        <v>0</v>
      </c>
      <c r="G226" s="10">
        <f>Data!L226</f>
        <v>1</v>
      </c>
      <c r="H226" s="10">
        <f t="shared" si="17"/>
        <v>0</v>
      </c>
      <c r="I226" s="10">
        <f>Data!H226</f>
        <v>1.2924539007092199</v>
      </c>
      <c r="J226" s="10">
        <f>Data!I226</f>
        <v>1.2925</v>
      </c>
      <c r="K226" s="10">
        <f t="shared" si="18"/>
        <v>1.2924539007092199</v>
      </c>
      <c r="L226" s="10">
        <f>Data!J226</f>
        <v>8.3178393542766571E-2</v>
      </c>
      <c r="M226" s="21">
        <f>Data!K226</f>
        <v>452.2</v>
      </c>
      <c r="N226" s="21">
        <f>Data!M226</f>
        <v>103.74964904785156</v>
      </c>
      <c r="O226" s="21">
        <f>Data!N226</f>
        <v>103.74964904785156</v>
      </c>
      <c r="P226" s="10">
        <f>Data!O226</f>
        <v>3.6400000000000002E-2</v>
      </c>
      <c r="Q226" s="10">
        <f t="shared" si="19"/>
        <v>0</v>
      </c>
      <c r="R226" s="10">
        <f>Data!Q226</f>
        <v>-0.45</v>
      </c>
      <c r="S226" s="10">
        <f>Data!P226</f>
        <v>-0.96</v>
      </c>
      <c r="T226" s="19"/>
    </row>
    <row r="227" spans="1:20" x14ac:dyDescent="0.25">
      <c r="A227" s="7">
        <f>Data!A227</f>
        <v>201601</v>
      </c>
      <c r="B227" s="7">
        <v>71360</v>
      </c>
      <c r="C227" s="7">
        <f>Data!F227</f>
        <v>3607369</v>
      </c>
      <c r="D227" s="7">
        <f>IF(Data!D227="Malawi", 1, 0)</f>
        <v>0</v>
      </c>
      <c r="E227" s="7">
        <f t="shared" si="15"/>
        <v>0</v>
      </c>
      <c r="F227" s="7">
        <f t="shared" si="16"/>
        <v>0</v>
      </c>
      <c r="G227" s="10">
        <f>Data!L227</f>
        <v>1</v>
      </c>
      <c r="H227" s="10">
        <f t="shared" si="17"/>
        <v>0</v>
      </c>
      <c r="I227" s="10">
        <f>Data!H227</f>
        <v>1.261406042380586</v>
      </c>
      <c r="J227" s="10">
        <f>Data!I227</f>
        <v>1.2614000000000001</v>
      </c>
      <c r="K227" s="10">
        <f t="shared" si="18"/>
        <v>1.261406042380586</v>
      </c>
      <c r="L227" s="10">
        <f>Data!J227</f>
        <v>0.22246940433979034</v>
      </c>
      <c r="M227" s="21">
        <f>Data!K227</f>
        <v>452.2</v>
      </c>
      <c r="N227" s="21">
        <f>Data!M227</f>
        <v>118.21114349365234</v>
      </c>
      <c r="O227" s="21">
        <f>Data!N227</f>
        <v>118.21114349365234</v>
      </c>
      <c r="P227" s="10">
        <f>Data!O227</f>
        <v>0.17810000000000001</v>
      </c>
      <c r="Q227" s="10">
        <f t="shared" si="19"/>
        <v>0</v>
      </c>
      <c r="R227" s="10">
        <f>Data!Q227</f>
        <v>-0.45</v>
      </c>
      <c r="S227" s="10">
        <f>Data!P227</f>
        <v>-0.96</v>
      </c>
      <c r="T227" s="19"/>
    </row>
    <row r="228" spans="1:20" x14ac:dyDescent="0.25">
      <c r="A228" s="7">
        <f>Data!A228</f>
        <v>201512</v>
      </c>
      <c r="B228" s="7">
        <v>71360</v>
      </c>
      <c r="C228" s="7">
        <f>Data!F228</f>
        <v>13355279</v>
      </c>
      <c r="D228" s="7">
        <f>IF(Data!D228="Malawi", 1, 0)</f>
        <v>0</v>
      </c>
      <c r="E228" s="7">
        <f t="shared" si="15"/>
        <v>0</v>
      </c>
      <c r="F228" s="7">
        <f t="shared" si="16"/>
        <v>0</v>
      </c>
      <c r="G228" s="10">
        <f>Data!L228</f>
        <v>0.99999857734361297</v>
      </c>
      <c r="H228" s="10">
        <f t="shared" si="17"/>
        <v>0</v>
      </c>
      <c r="I228" s="10">
        <f>Data!H228</f>
        <v>1.3019696327167263</v>
      </c>
      <c r="J228" s="10">
        <f>Data!I228</f>
        <v>1.9</v>
      </c>
      <c r="K228" s="10">
        <f t="shared" si="18"/>
        <v>1.301970483508448</v>
      </c>
      <c r="L228" s="10">
        <f>Data!J228</f>
        <v>0.26559117436408997</v>
      </c>
      <c r="M228" s="21">
        <f>Data!K228</f>
        <v>467.5</v>
      </c>
      <c r="N228" s="21">
        <f>Data!M228</f>
        <v>148.23687744140625</v>
      </c>
      <c r="O228" s="21">
        <f>Data!N228</f>
        <v>148.23687744140625</v>
      </c>
      <c r="P228" s="10">
        <f>Data!O228</f>
        <v>0.3286</v>
      </c>
      <c r="Q228" s="10">
        <f t="shared" si="19"/>
        <v>0</v>
      </c>
      <c r="R228" s="10">
        <f>Data!Q228</f>
        <v>-0.42</v>
      </c>
      <c r="S228" s="10">
        <f>Data!P228</f>
        <v>-0.95</v>
      </c>
      <c r="T228" s="19"/>
    </row>
    <row r="229" spans="1:20" x14ac:dyDescent="0.25">
      <c r="A229" s="7">
        <f>Data!A229</f>
        <v>201511</v>
      </c>
      <c r="B229" s="7">
        <v>71360</v>
      </c>
      <c r="C229" s="7">
        <f>Data!F229</f>
        <v>28976980</v>
      </c>
      <c r="D229" s="7">
        <f>IF(Data!D229="Malawi", 1, 0)</f>
        <v>0</v>
      </c>
      <c r="E229" s="7">
        <f t="shared" si="15"/>
        <v>0</v>
      </c>
      <c r="F229" s="7">
        <f t="shared" si="16"/>
        <v>0</v>
      </c>
      <c r="G229" s="10">
        <f>Data!L229</f>
        <v>0.99983396471826103</v>
      </c>
      <c r="H229" s="10">
        <f t="shared" si="17"/>
        <v>0</v>
      </c>
      <c r="I229" s="10">
        <f>Data!H229</f>
        <v>1.1510220456802382</v>
      </c>
      <c r="J229" s="10">
        <f>Data!I229</f>
        <v>1.151</v>
      </c>
      <c r="K229" s="10">
        <f t="shared" si="18"/>
        <v>1.1510220420198773</v>
      </c>
      <c r="L229" s="10">
        <f>Data!J229</f>
        <v>0.21461187303066254</v>
      </c>
      <c r="M229" s="21">
        <f>Data!K229</f>
        <v>467.5</v>
      </c>
      <c r="N229" s="21">
        <f>Data!M229</f>
        <v>150.71588134765625</v>
      </c>
      <c r="O229" s="21">
        <f>Data!N229</f>
        <v>150.71588134765625</v>
      </c>
      <c r="P229" s="10">
        <f>Data!O229</f>
        <v>0.4572</v>
      </c>
      <c r="Q229" s="10">
        <f t="shared" si="19"/>
        <v>0</v>
      </c>
      <c r="R229" s="10">
        <f>Data!Q229</f>
        <v>-0.42</v>
      </c>
      <c r="S229" s="10">
        <f>Data!P229</f>
        <v>-0.95</v>
      </c>
      <c r="T229" s="19"/>
    </row>
    <row r="230" spans="1:20" x14ac:dyDescent="0.25">
      <c r="A230" s="7">
        <f>Data!A230</f>
        <v>201510</v>
      </c>
      <c r="B230" s="7">
        <v>71360</v>
      </c>
      <c r="C230" s="7">
        <f>Data!F230</f>
        <v>38012290</v>
      </c>
      <c r="D230" s="7">
        <f>IF(Data!D230="Malawi", 1, 0)</f>
        <v>0</v>
      </c>
      <c r="E230" s="7">
        <f t="shared" si="15"/>
        <v>0</v>
      </c>
      <c r="F230" s="7">
        <f t="shared" si="16"/>
        <v>0</v>
      </c>
      <c r="G230" s="10">
        <f>Data!L230</f>
        <v>1</v>
      </c>
      <c r="H230" s="10">
        <f t="shared" si="17"/>
        <v>0</v>
      </c>
      <c r="I230" s="10">
        <f>Data!H230</f>
        <v>1.1198903404391167</v>
      </c>
      <c r="J230" s="10">
        <f>Data!I230</f>
        <v>1.1198999999999999</v>
      </c>
      <c r="K230" s="10">
        <f t="shared" si="18"/>
        <v>1.1198903404391167</v>
      </c>
      <c r="L230" s="10">
        <f>Data!J230</f>
        <v>8.5154697299003601E-2</v>
      </c>
      <c r="M230" s="21">
        <f>Data!K230</f>
        <v>467.5</v>
      </c>
      <c r="N230" s="21">
        <f>Data!M230</f>
        <v>91.931884765625</v>
      </c>
      <c r="O230" s="21">
        <f>Data!N230</f>
        <v>91.931884765625</v>
      </c>
      <c r="P230" s="10">
        <f>Data!O230</f>
        <v>0.42670000000000002</v>
      </c>
      <c r="Q230" s="10">
        <f t="shared" si="19"/>
        <v>0</v>
      </c>
      <c r="R230" s="10">
        <f>Data!Q230</f>
        <v>-0.42</v>
      </c>
      <c r="S230" s="10">
        <f>Data!P230</f>
        <v>-0.95</v>
      </c>
      <c r="T230" s="19"/>
    </row>
    <row r="231" spans="1:20" x14ac:dyDescent="0.25">
      <c r="A231" s="7">
        <f>Data!A231</f>
        <v>201509</v>
      </c>
      <c r="B231" s="7">
        <v>71360</v>
      </c>
      <c r="C231" s="7">
        <f>Data!F231</f>
        <v>12397831</v>
      </c>
      <c r="D231" s="7">
        <f>IF(Data!D231="Malawi", 1, 0)</f>
        <v>0</v>
      </c>
      <c r="E231" s="7">
        <f t="shared" si="15"/>
        <v>0</v>
      </c>
      <c r="F231" s="7">
        <f t="shared" si="16"/>
        <v>0</v>
      </c>
      <c r="G231" s="10">
        <f>Data!L231</f>
        <v>1</v>
      </c>
      <c r="H231" s="10">
        <f t="shared" si="17"/>
        <v>0</v>
      </c>
      <c r="I231" s="10">
        <f>Data!H231</f>
        <v>1.0351365951406863</v>
      </c>
      <c r="J231" s="10">
        <f>Data!I231</f>
        <v>1.0350999999999999</v>
      </c>
      <c r="K231" s="10">
        <f t="shared" si="18"/>
        <v>1.0351365951406863</v>
      </c>
      <c r="L231" s="10">
        <f>Data!J231</f>
        <v>6.5251432359218597E-2</v>
      </c>
      <c r="M231" s="21">
        <f>Data!K231</f>
        <v>467.5</v>
      </c>
      <c r="N231" s="21">
        <f>Data!M231</f>
        <v>98.7674560546875</v>
      </c>
      <c r="O231" s="21">
        <f>Data!N231</f>
        <v>98.7674560546875</v>
      </c>
      <c r="P231" s="10">
        <f>Data!O231</f>
        <v>0.21829999999999999</v>
      </c>
      <c r="Q231" s="10">
        <f t="shared" si="19"/>
        <v>0</v>
      </c>
      <c r="R231" s="10">
        <f>Data!Q231</f>
        <v>-0.42</v>
      </c>
      <c r="S231" s="10">
        <f>Data!P231</f>
        <v>-0.95</v>
      </c>
      <c r="T231" s="19"/>
    </row>
    <row r="232" spans="1:20" x14ac:dyDescent="0.25">
      <c r="A232" s="7">
        <f>Data!A232</f>
        <v>201508</v>
      </c>
      <c r="B232" s="7">
        <v>71360</v>
      </c>
      <c r="C232" s="7">
        <f>Data!F232</f>
        <v>118694</v>
      </c>
      <c r="D232" s="7">
        <f>IF(Data!D232="Malawi", 1, 0)</f>
        <v>0</v>
      </c>
      <c r="E232" s="7">
        <f t="shared" si="15"/>
        <v>0</v>
      </c>
      <c r="F232" s="7">
        <f t="shared" si="16"/>
        <v>0</v>
      </c>
      <c r="G232" s="10">
        <f>Data!L232</f>
        <v>1</v>
      </c>
      <c r="H232" s="10">
        <f t="shared" si="17"/>
        <v>0</v>
      </c>
      <c r="I232" s="10">
        <f>Data!H232</f>
        <v>0.98911666666666664</v>
      </c>
      <c r="J232" s="10">
        <f>Data!I232</f>
        <v>0.98909999999999998</v>
      </c>
      <c r="K232" s="10">
        <f t="shared" si="18"/>
        <v>0.98911666666666664</v>
      </c>
      <c r="L232" s="10">
        <f>Data!J232</f>
        <v>9.8953917622566223E-2</v>
      </c>
      <c r="M232" s="21">
        <f>Data!K232</f>
        <v>467.5</v>
      </c>
      <c r="N232" s="21">
        <f>Data!M232</f>
        <v>82.478530883789063</v>
      </c>
      <c r="O232" s="21">
        <f>Data!N232</f>
        <v>82.478530883789063</v>
      </c>
      <c r="P232" s="10">
        <f>Data!O232</f>
        <v>7.7000000000000002E-3</v>
      </c>
      <c r="Q232" s="10">
        <f t="shared" si="19"/>
        <v>0</v>
      </c>
      <c r="R232" s="10">
        <f>Data!Q232</f>
        <v>-0.42</v>
      </c>
      <c r="S232" s="10">
        <f>Data!P232</f>
        <v>-0.95</v>
      </c>
      <c r="T232" s="19"/>
    </row>
    <row r="233" spans="1:20" x14ac:dyDescent="0.25">
      <c r="A233" s="7">
        <f>Data!A233</f>
        <v>201507</v>
      </c>
      <c r="B233" s="7">
        <v>71360</v>
      </c>
      <c r="C233" s="7">
        <f>Data!F233</f>
        <v>39411</v>
      </c>
      <c r="D233" s="7">
        <f>IF(Data!D233="Malawi", 1, 0)</f>
        <v>0</v>
      </c>
      <c r="E233" s="7">
        <f t="shared" si="15"/>
        <v>0</v>
      </c>
      <c r="F233" s="7">
        <f t="shared" si="16"/>
        <v>0</v>
      </c>
      <c r="G233" s="10">
        <f>Data!L233</f>
        <v>1</v>
      </c>
      <c r="H233" s="10">
        <f t="shared" si="17"/>
        <v>0</v>
      </c>
      <c r="I233" s="10">
        <f>Data!H233</f>
        <v>0.78822000000000003</v>
      </c>
      <c r="J233" s="10">
        <f>Data!I233</f>
        <v>0.78820000000000001</v>
      </c>
      <c r="K233" s="10">
        <f t="shared" si="18"/>
        <v>0.78822000000000003</v>
      </c>
      <c r="L233" s="10">
        <f>Data!J233</f>
        <v>0.18615524470806122</v>
      </c>
      <c r="M233" s="21">
        <f>Data!K233</f>
        <v>467.5</v>
      </c>
      <c r="N233" s="21">
        <f>Data!M233</f>
        <v>106.80866241455078</v>
      </c>
      <c r="O233" s="21">
        <f>Data!N233</f>
        <v>106.80866241455078</v>
      </c>
      <c r="P233" s="10">
        <f>Data!O233</f>
        <v>1.2999999999999999E-3</v>
      </c>
      <c r="Q233" s="10">
        <f t="shared" si="19"/>
        <v>0</v>
      </c>
      <c r="R233" s="10">
        <f>Data!Q233</f>
        <v>-0.42</v>
      </c>
      <c r="S233" s="10">
        <f>Data!P233</f>
        <v>-0.95</v>
      </c>
      <c r="T233" s="19"/>
    </row>
    <row r="234" spans="1:20" x14ac:dyDescent="0.25">
      <c r="A234" s="7">
        <f>Data!A234</f>
        <v>201506</v>
      </c>
      <c r="B234" s="7">
        <v>71360</v>
      </c>
      <c r="C234" s="7">
        <f>Data!F234</f>
        <v>75521</v>
      </c>
      <c r="D234" s="7">
        <f>IF(Data!D234="Malawi", 1, 0)</f>
        <v>0</v>
      </c>
      <c r="E234" s="7">
        <f t="shared" si="15"/>
        <v>0</v>
      </c>
      <c r="F234" s="7">
        <f t="shared" si="16"/>
        <v>0</v>
      </c>
      <c r="G234" s="10">
        <f>Data!L234</f>
        <v>0.58373719806763202</v>
      </c>
      <c r="H234" s="10">
        <f t="shared" si="17"/>
        <v>0</v>
      </c>
      <c r="I234" s="10">
        <f>Data!H234</f>
        <v>1.0489027777777777</v>
      </c>
      <c r="J234" s="10">
        <f>Data!I234</f>
        <v>1.0443</v>
      </c>
      <c r="K234" s="10">
        <f t="shared" si="18"/>
        <v>1.0469868126033279</v>
      </c>
      <c r="L234" s="10">
        <f>Data!J234</f>
        <v>0.10393209755420685</v>
      </c>
      <c r="M234" s="21">
        <f>Data!K234</f>
        <v>467.5</v>
      </c>
      <c r="N234" s="21">
        <f>Data!M234</f>
        <v>85.905967712402344</v>
      </c>
      <c r="O234" s="21">
        <f>Data!N234</f>
        <v>85.905967712402344</v>
      </c>
      <c r="P234" s="10">
        <f>Data!O234</f>
        <v>2E-3</v>
      </c>
      <c r="Q234" s="10">
        <f t="shared" si="19"/>
        <v>0</v>
      </c>
      <c r="R234" s="10">
        <f>Data!Q234</f>
        <v>-0.42</v>
      </c>
      <c r="S234" s="10">
        <f>Data!P234</f>
        <v>-0.95</v>
      </c>
      <c r="T234" s="19"/>
    </row>
    <row r="235" spans="1:20" x14ac:dyDescent="0.25">
      <c r="A235" s="7">
        <f>Data!A235</f>
        <v>201505</v>
      </c>
      <c r="B235" s="7">
        <v>71360</v>
      </c>
      <c r="C235" s="7">
        <f>Data!F235</f>
        <v>101535</v>
      </c>
      <c r="D235" s="7">
        <f>IF(Data!D235="Malawi", 1, 0)</f>
        <v>0</v>
      </c>
      <c r="E235" s="7">
        <f t="shared" si="15"/>
        <v>0</v>
      </c>
      <c r="F235" s="7">
        <f t="shared" si="16"/>
        <v>0</v>
      </c>
      <c r="G235" s="10">
        <f>Data!L235</f>
        <v>1</v>
      </c>
      <c r="H235" s="10">
        <f t="shared" si="17"/>
        <v>0</v>
      </c>
      <c r="I235" s="10">
        <f>Data!H235</f>
        <v>0.72524999999999995</v>
      </c>
      <c r="J235" s="10">
        <f>Data!I235</f>
        <v>0.72519999999999996</v>
      </c>
      <c r="K235" s="10">
        <f t="shared" si="18"/>
        <v>0.72524999999999995</v>
      </c>
      <c r="L235" s="10">
        <f>Data!J235</f>
        <v>0.10688785463571548</v>
      </c>
      <c r="M235" s="21">
        <f>Data!K235</f>
        <v>467.5</v>
      </c>
      <c r="N235" s="21">
        <f>Data!M235</f>
        <v>76.2623291015625</v>
      </c>
      <c r="O235" s="21">
        <f>Data!N235</f>
        <v>76.2623291015625</v>
      </c>
      <c r="P235" s="10">
        <f>Data!O235</f>
        <v>2.8E-3</v>
      </c>
      <c r="Q235" s="10">
        <f t="shared" si="19"/>
        <v>0</v>
      </c>
      <c r="R235" s="10">
        <f>Data!Q235</f>
        <v>-0.42</v>
      </c>
      <c r="S235" s="10">
        <f>Data!P235</f>
        <v>-0.95</v>
      </c>
      <c r="T235" s="19"/>
    </row>
    <row r="236" spans="1:20" x14ac:dyDescent="0.25">
      <c r="A236" s="7">
        <f>Data!A236</f>
        <v>201504</v>
      </c>
      <c r="B236" s="7">
        <v>71360</v>
      </c>
      <c r="C236" s="7">
        <f>Data!F236</f>
        <v>995281</v>
      </c>
      <c r="D236" s="7">
        <f>IF(Data!D236="Malawi", 1, 0)</f>
        <v>0</v>
      </c>
      <c r="E236" s="7">
        <f t="shared" si="15"/>
        <v>0</v>
      </c>
      <c r="F236" s="7">
        <f t="shared" si="16"/>
        <v>0</v>
      </c>
      <c r="G236" s="10">
        <f>Data!L236</f>
        <v>1</v>
      </c>
      <c r="H236" s="10">
        <f t="shared" si="17"/>
        <v>0</v>
      </c>
      <c r="I236" s="10">
        <f>Data!H236</f>
        <v>0.80070876910699917</v>
      </c>
      <c r="J236" s="10">
        <f>Data!I236</f>
        <v>0.80069999999999997</v>
      </c>
      <c r="K236" s="10">
        <f t="shared" si="18"/>
        <v>0.80070876910699917</v>
      </c>
      <c r="L236" s="10">
        <f>Data!J236</f>
        <v>0.18705096840858459</v>
      </c>
      <c r="M236" s="21">
        <f>Data!K236</f>
        <v>467.5</v>
      </c>
      <c r="N236" s="21">
        <f>Data!M236</f>
        <v>102.19049072265625</v>
      </c>
      <c r="O236" s="21">
        <f>Data!N236</f>
        <v>102.19049072265625</v>
      </c>
      <c r="P236" s="10">
        <f>Data!O236</f>
        <v>2.29E-2</v>
      </c>
      <c r="Q236" s="10">
        <f t="shared" si="19"/>
        <v>0</v>
      </c>
      <c r="R236" s="10">
        <f>Data!Q236</f>
        <v>-0.42</v>
      </c>
      <c r="S236" s="10">
        <f>Data!P236</f>
        <v>-0.95</v>
      </c>
      <c r="T236" s="19"/>
    </row>
    <row r="237" spans="1:20" x14ac:dyDescent="0.25">
      <c r="A237" s="7">
        <f>Data!A237</f>
        <v>201503</v>
      </c>
      <c r="B237" s="7">
        <v>71360</v>
      </c>
      <c r="C237" s="7">
        <f>Data!F237</f>
        <v>6028023</v>
      </c>
      <c r="D237" s="7">
        <f>IF(Data!D237="Malawi", 1, 0)</f>
        <v>0</v>
      </c>
      <c r="E237" s="7">
        <f t="shared" si="15"/>
        <v>0</v>
      </c>
      <c r="F237" s="7">
        <f t="shared" si="16"/>
        <v>0</v>
      </c>
      <c r="G237" s="10">
        <f>Data!L237</f>
        <v>0.96960552422114499</v>
      </c>
      <c r="H237" s="10">
        <f t="shared" si="17"/>
        <v>0</v>
      </c>
      <c r="I237" s="10">
        <f>Data!H237</f>
        <v>0.8750214835244593</v>
      </c>
      <c r="J237" s="10">
        <f>Data!I237</f>
        <v>0.86870000000000003</v>
      </c>
      <c r="K237" s="10">
        <f t="shared" si="18"/>
        <v>0.87482934534658863</v>
      </c>
      <c r="L237" s="10">
        <f>Data!J237</f>
        <v>0.13181200623512268</v>
      </c>
      <c r="M237" s="21">
        <f>Data!K237</f>
        <v>467.5</v>
      </c>
      <c r="N237" s="21">
        <f>Data!M237</f>
        <v>104.23526763916016</v>
      </c>
      <c r="O237" s="21">
        <f>Data!N237</f>
        <v>104.23526763916016</v>
      </c>
      <c r="P237" s="10">
        <f>Data!O237</f>
        <v>0.129</v>
      </c>
      <c r="Q237" s="10">
        <f t="shared" si="19"/>
        <v>0</v>
      </c>
      <c r="R237" s="10">
        <f>Data!Q237</f>
        <v>-0.42</v>
      </c>
      <c r="S237" s="10">
        <f>Data!P237</f>
        <v>-0.95</v>
      </c>
      <c r="T237" s="19"/>
    </row>
    <row r="238" spans="1:20" x14ac:dyDescent="0.25">
      <c r="A238" s="7">
        <f>Data!A238</f>
        <v>201502</v>
      </c>
      <c r="B238" s="7">
        <v>71360</v>
      </c>
      <c r="C238" s="7">
        <f>Data!F238</f>
        <v>1101651</v>
      </c>
      <c r="D238" s="7">
        <f>IF(Data!D238="Malawi", 1, 0)</f>
        <v>0</v>
      </c>
      <c r="E238" s="7">
        <f t="shared" si="15"/>
        <v>0</v>
      </c>
      <c r="F238" s="7">
        <f t="shared" si="16"/>
        <v>0</v>
      </c>
      <c r="G238" s="10">
        <f>Data!L238</f>
        <v>0.98422155752819496</v>
      </c>
      <c r="H238" s="10">
        <f t="shared" si="17"/>
        <v>0</v>
      </c>
      <c r="I238" s="10">
        <f>Data!H238</f>
        <v>0.68510634328358211</v>
      </c>
      <c r="J238" s="10">
        <f>Data!I238</f>
        <v>0.68589999999999995</v>
      </c>
      <c r="K238" s="10">
        <f t="shared" si="18"/>
        <v>0.68511886595042448</v>
      </c>
      <c r="L238" s="10">
        <f>Data!J238</f>
        <v>0.1231527104973793</v>
      </c>
      <c r="M238" s="21">
        <f>Data!K238</f>
        <v>467.5</v>
      </c>
      <c r="N238" s="21">
        <f>Data!M238</f>
        <v>111.92469787597656</v>
      </c>
      <c r="O238" s="21">
        <f>Data!N238</f>
        <v>111.92469787597656</v>
      </c>
      <c r="P238" s="10">
        <f>Data!O238</f>
        <v>4.5400000000000003E-2</v>
      </c>
      <c r="Q238" s="10">
        <f t="shared" si="19"/>
        <v>0</v>
      </c>
      <c r="R238" s="10">
        <f>Data!Q238</f>
        <v>-0.42</v>
      </c>
      <c r="S238" s="10">
        <f>Data!P238</f>
        <v>-0.95</v>
      </c>
      <c r="T238" s="19"/>
    </row>
    <row r="239" spans="1:20" x14ac:dyDescent="0.25">
      <c r="A239" s="7">
        <f>Data!A239</f>
        <v>201501</v>
      </c>
      <c r="B239" s="7">
        <v>71360</v>
      </c>
      <c r="C239" s="7">
        <f>Data!F239</f>
        <v>9225786</v>
      </c>
      <c r="D239" s="7">
        <f>IF(Data!D239="Malawi", 1, 0)</f>
        <v>0</v>
      </c>
      <c r="E239" s="7">
        <f t="shared" si="15"/>
        <v>0</v>
      </c>
      <c r="F239" s="7">
        <f t="shared" si="16"/>
        <v>0</v>
      </c>
      <c r="G239" s="10">
        <f>Data!L239</f>
        <v>1</v>
      </c>
      <c r="H239" s="10">
        <f t="shared" si="17"/>
        <v>0</v>
      </c>
      <c r="I239" s="10">
        <f>Data!H239</f>
        <v>0.76126627609538744</v>
      </c>
      <c r="J239" s="10">
        <f>Data!I239</f>
        <v>0.76129999999999998</v>
      </c>
      <c r="K239" s="10">
        <f t="shared" si="18"/>
        <v>0.76126627609538744</v>
      </c>
      <c r="L239" s="10">
        <f>Data!J239</f>
        <v>0.21778281033039093</v>
      </c>
      <c r="M239" s="21">
        <f>Data!K239</f>
        <v>467.5</v>
      </c>
      <c r="N239" s="21">
        <f>Data!M239</f>
        <v>111.98569488525391</v>
      </c>
      <c r="O239" s="21">
        <f>Data!N239</f>
        <v>111.98569488525391</v>
      </c>
      <c r="P239" s="10">
        <f>Data!O239</f>
        <v>0.27750000000000002</v>
      </c>
      <c r="Q239" s="10">
        <f t="shared" si="19"/>
        <v>0</v>
      </c>
      <c r="R239" s="10">
        <f>Data!Q239</f>
        <v>-0.42</v>
      </c>
      <c r="S239" s="10">
        <f>Data!P239</f>
        <v>-0.95</v>
      </c>
      <c r="T239" s="19"/>
    </row>
    <row r="240" spans="1:20" x14ac:dyDescent="0.25">
      <c r="A240" s="7">
        <f>Data!A240</f>
        <v>201412</v>
      </c>
      <c r="B240" s="7">
        <v>71360</v>
      </c>
      <c r="C240" s="7">
        <f>Data!F240</f>
        <v>22288592</v>
      </c>
      <c r="D240" s="7">
        <f>IF(Data!D240="Malawi", 1, 0)</f>
        <v>0</v>
      </c>
      <c r="E240" s="7">
        <f t="shared" si="15"/>
        <v>0</v>
      </c>
      <c r="F240" s="7">
        <f t="shared" si="16"/>
        <v>0</v>
      </c>
      <c r="G240" s="10">
        <f>Data!L240</f>
        <v>0.99668760424181901</v>
      </c>
      <c r="H240" s="10">
        <f t="shared" si="17"/>
        <v>0</v>
      </c>
      <c r="I240" s="10">
        <f>Data!H240</f>
        <v>0.72991197275347131</v>
      </c>
      <c r="J240" s="10">
        <f>Data!I240</f>
        <v>0.7288</v>
      </c>
      <c r="K240" s="10">
        <f t="shared" si="18"/>
        <v>0.72990828945963948</v>
      </c>
      <c r="L240" s="10">
        <f>Data!J240</f>
        <v>0.20030480623245239</v>
      </c>
      <c r="M240" s="21">
        <f>Data!K240</f>
        <v>559.1</v>
      </c>
      <c r="N240" s="21">
        <f>Data!M240</f>
        <v>86.526222229003906</v>
      </c>
      <c r="O240" s="21">
        <f>Data!N240</f>
        <v>86.526222229003906</v>
      </c>
      <c r="P240" s="10">
        <f>Data!O240</f>
        <v>0.32500000000000001</v>
      </c>
      <c r="Q240" s="10">
        <f t="shared" si="19"/>
        <v>0</v>
      </c>
      <c r="R240" s="10">
        <f>Data!Q240</f>
        <v>-0.6</v>
      </c>
      <c r="S240" s="10">
        <f>Data!P240</f>
        <v>-1</v>
      </c>
      <c r="T240" s="19"/>
    </row>
    <row r="241" spans="1:20" x14ac:dyDescent="0.25">
      <c r="A241" s="7">
        <f>Data!A241</f>
        <v>201411</v>
      </c>
      <c r="B241" s="7">
        <v>71360</v>
      </c>
      <c r="C241" s="7">
        <f>Data!F241</f>
        <v>23873184</v>
      </c>
      <c r="D241" s="7">
        <f>IF(Data!D241="Malawi", 1, 0)</f>
        <v>0</v>
      </c>
      <c r="E241" s="7">
        <f t="shared" si="15"/>
        <v>0</v>
      </c>
      <c r="F241" s="7">
        <f t="shared" si="16"/>
        <v>0</v>
      </c>
      <c r="G241" s="10">
        <f>Data!L241</f>
        <v>1</v>
      </c>
      <c r="H241" s="10">
        <f t="shared" si="17"/>
        <v>0</v>
      </c>
      <c r="I241" s="10">
        <f>Data!H241</f>
        <v>0.74869268313702608</v>
      </c>
      <c r="J241" s="10">
        <f>Data!I241</f>
        <v>0.74890000000000001</v>
      </c>
      <c r="K241" s="10">
        <f t="shared" si="18"/>
        <v>0.74869268313702608</v>
      </c>
      <c r="L241" s="10">
        <f>Data!J241</f>
        <v>0.15289904177188873</v>
      </c>
      <c r="M241" s="21">
        <f>Data!K241</f>
        <v>559.1</v>
      </c>
      <c r="N241" s="21">
        <f>Data!M241</f>
        <v>84.380050659179688</v>
      </c>
      <c r="O241" s="21">
        <f>Data!N241</f>
        <v>84.380050659179688</v>
      </c>
      <c r="P241" s="10">
        <f>Data!O241</f>
        <v>0.32600000000000001</v>
      </c>
      <c r="Q241" s="10">
        <f t="shared" si="19"/>
        <v>0</v>
      </c>
      <c r="R241" s="10">
        <f>Data!Q241</f>
        <v>-0.6</v>
      </c>
      <c r="S241" s="10">
        <f>Data!P241</f>
        <v>-1</v>
      </c>
      <c r="T241" s="19"/>
    </row>
    <row r="242" spans="1:20" x14ac:dyDescent="0.25">
      <c r="A242" s="7">
        <f>Data!A242</f>
        <v>201410</v>
      </c>
      <c r="B242" s="7">
        <v>71360</v>
      </c>
      <c r="C242" s="7">
        <f>Data!F242</f>
        <v>12967004</v>
      </c>
      <c r="D242" s="7">
        <f>IF(Data!D242="Malawi", 1, 0)</f>
        <v>0</v>
      </c>
      <c r="E242" s="7">
        <f t="shared" si="15"/>
        <v>0</v>
      </c>
      <c r="F242" s="7">
        <f t="shared" si="16"/>
        <v>0</v>
      </c>
      <c r="G242" s="10">
        <f>Data!L242</f>
        <v>0.99729514443470302</v>
      </c>
      <c r="H242" s="10">
        <f t="shared" si="17"/>
        <v>0</v>
      </c>
      <c r="I242" s="10">
        <f>Data!H242</f>
        <v>0.7637083456033924</v>
      </c>
      <c r="J242" s="10">
        <f>Data!I242</f>
        <v>0.76339999999999997</v>
      </c>
      <c r="K242" s="10">
        <f t="shared" si="18"/>
        <v>0.76370751157307104</v>
      </c>
      <c r="L242" s="10">
        <f>Data!J242</f>
        <v>0.1330697238445282</v>
      </c>
      <c r="M242" s="21">
        <f>Data!K242</f>
        <v>559.1</v>
      </c>
      <c r="N242" s="21">
        <f>Data!M242</f>
        <v>83.661003112792969</v>
      </c>
      <c r="O242" s="21">
        <f>Data!N242</f>
        <v>83.661003112792969</v>
      </c>
      <c r="P242" s="10">
        <f>Data!O242</f>
        <v>0.22670000000000001</v>
      </c>
      <c r="Q242" s="10">
        <f t="shared" si="19"/>
        <v>0</v>
      </c>
      <c r="R242" s="10">
        <f>Data!Q242</f>
        <v>-0.6</v>
      </c>
      <c r="S242" s="10">
        <f>Data!P242</f>
        <v>-1</v>
      </c>
      <c r="T242" s="19"/>
    </row>
    <row r="243" spans="1:20" x14ac:dyDescent="0.25">
      <c r="A243" s="7">
        <f>Data!A243</f>
        <v>201409</v>
      </c>
      <c r="B243" s="7">
        <v>71360</v>
      </c>
      <c r="C243" s="7">
        <f>Data!F243</f>
        <v>413301</v>
      </c>
      <c r="D243" s="7">
        <f>IF(Data!D243="Malawi", 1, 0)</f>
        <v>0</v>
      </c>
      <c r="E243" s="7">
        <f t="shared" si="15"/>
        <v>0</v>
      </c>
      <c r="F243" s="7">
        <f t="shared" si="16"/>
        <v>0</v>
      </c>
      <c r="G243" s="10">
        <f>Data!L243</f>
        <v>1</v>
      </c>
      <c r="H243" s="10">
        <f t="shared" si="17"/>
        <v>0</v>
      </c>
      <c r="I243" s="10">
        <f>Data!H243</f>
        <v>0.70892109777015433</v>
      </c>
      <c r="J243" s="10">
        <f>Data!I243</f>
        <v>0.70889999999999997</v>
      </c>
      <c r="K243" s="10">
        <f t="shared" si="18"/>
        <v>0.70892109777015433</v>
      </c>
      <c r="L243" s="10">
        <f>Data!J243</f>
        <v>0.14049454033374786</v>
      </c>
      <c r="M243" s="21">
        <f>Data!K243</f>
        <v>559.1</v>
      </c>
      <c r="N243" s="21">
        <f>Data!M243</f>
        <v>131.55665588378906</v>
      </c>
      <c r="O243" s="21">
        <f>Data!N243</f>
        <v>131.55665588378906</v>
      </c>
      <c r="P243" s="10">
        <f>Data!O243</f>
        <v>1.44E-2</v>
      </c>
      <c r="Q243" s="10">
        <f t="shared" si="19"/>
        <v>0</v>
      </c>
      <c r="R243" s="10">
        <f>Data!Q243</f>
        <v>-0.6</v>
      </c>
      <c r="S243" s="10">
        <f>Data!P243</f>
        <v>-1</v>
      </c>
      <c r="T243" s="19"/>
    </row>
    <row r="244" spans="1:20" x14ac:dyDescent="0.25">
      <c r="A244" s="7">
        <f>Data!A244</f>
        <v>201408</v>
      </c>
      <c r="B244" s="7">
        <v>71360</v>
      </c>
      <c r="C244" s="7">
        <f>Data!F244</f>
        <v>1542706</v>
      </c>
      <c r="D244" s="7">
        <f>IF(Data!D244="Malawi", 1, 0)</f>
        <v>0</v>
      </c>
      <c r="E244" s="7">
        <f t="shared" si="15"/>
        <v>0</v>
      </c>
      <c r="F244" s="7">
        <f t="shared" si="16"/>
        <v>0</v>
      </c>
      <c r="G244" s="10">
        <f>Data!L244</f>
        <v>0.98895530903531204</v>
      </c>
      <c r="H244" s="10">
        <f t="shared" si="17"/>
        <v>0</v>
      </c>
      <c r="I244" s="10">
        <f>Data!H244</f>
        <v>0.66267439862542954</v>
      </c>
      <c r="J244" s="10">
        <f>Data!I244</f>
        <v>0.6653</v>
      </c>
      <c r="K244" s="10">
        <f t="shared" si="18"/>
        <v>0.66270339758120811</v>
      </c>
      <c r="L244" s="10">
        <f>Data!J244</f>
        <v>0.16138376295566559</v>
      </c>
      <c r="M244" s="21">
        <f>Data!K244</f>
        <v>559.1</v>
      </c>
      <c r="N244" s="21">
        <f>Data!M244</f>
        <v>136.44558715820313</v>
      </c>
      <c r="O244" s="21">
        <f>Data!N244</f>
        <v>136.44558715820313</v>
      </c>
      <c r="P244" s="10">
        <f>Data!O244</f>
        <v>0.1313</v>
      </c>
      <c r="Q244" s="10">
        <f t="shared" si="19"/>
        <v>0</v>
      </c>
      <c r="R244" s="10">
        <f>Data!Q244</f>
        <v>-0.6</v>
      </c>
      <c r="S244" s="10">
        <f>Data!P244</f>
        <v>-1</v>
      </c>
      <c r="T244" s="19"/>
    </row>
    <row r="245" spans="1:20" x14ac:dyDescent="0.25">
      <c r="A245" s="7">
        <f>Data!A245</f>
        <v>201407</v>
      </c>
      <c r="B245" s="7">
        <v>71360</v>
      </c>
      <c r="C245" s="7">
        <f>Data!F245</f>
        <v>2717832</v>
      </c>
      <c r="D245" s="7">
        <f>IF(Data!D245="Malawi", 1, 0)</f>
        <v>0</v>
      </c>
      <c r="E245" s="7">
        <f t="shared" si="15"/>
        <v>0</v>
      </c>
      <c r="F245" s="7">
        <f t="shared" si="16"/>
        <v>0</v>
      </c>
      <c r="G245" s="10">
        <f>Data!L245</f>
        <v>1</v>
      </c>
      <c r="H245" s="10">
        <f t="shared" si="17"/>
        <v>0</v>
      </c>
      <c r="I245" s="10">
        <f>Data!H245</f>
        <v>0.7135290102389078</v>
      </c>
      <c r="J245" s="10">
        <f>Data!I245</f>
        <v>0.71350000000000002</v>
      </c>
      <c r="K245" s="10">
        <f t="shared" si="18"/>
        <v>0.7135290102389078</v>
      </c>
      <c r="L245" s="10">
        <f>Data!J245</f>
        <v>0.14513218402862549</v>
      </c>
      <c r="M245" s="21">
        <f>Data!K245</f>
        <v>559.1</v>
      </c>
      <c r="N245" s="21">
        <f>Data!M245</f>
        <v>138.75395202636719</v>
      </c>
      <c r="O245" s="21">
        <f>Data!N245</f>
        <v>138.75395202636719</v>
      </c>
      <c r="P245" s="10">
        <f>Data!O245</f>
        <v>0.1084</v>
      </c>
      <c r="Q245" s="10">
        <f t="shared" si="19"/>
        <v>0</v>
      </c>
      <c r="R245" s="10">
        <f>Data!Q245</f>
        <v>-0.6</v>
      </c>
      <c r="S245" s="10">
        <f>Data!P245</f>
        <v>-1</v>
      </c>
      <c r="T245" s="19"/>
    </row>
    <row r="246" spans="1:20" x14ac:dyDescent="0.25">
      <c r="A246" s="7">
        <f>Data!A246</f>
        <v>201406</v>
      </c>
      <c r="B246" s="7">
        <v>71360</v>
      </c>
      <c r="C246" s="7">
        <f>Data!F246</f>
        <v>5682194</v>
      </c>
      <c r="D246" s="7">
        <f>IF(Data!D246="Malawi", 1, 0)</f>
        <v>0</v>
      </c>
      <c r="E246" s="7">
        <f t="shared" si="15"/>
        <v>0</v>
      </c>
      <c r="F246" s="7">
        <f t="shared" si="16"/>
        <v>0</v>
      </c>
      <c r="G246" s="10">
        <f>Data!L246</f>
        <v>0.99530600147977</v>
      </c>
      <c r="H246" s="10">
        <f t="shared" si="17"/>
        <v>0</v>
      </c>
      <c r="I246" s="10">
        <f>Data!H246</f>
        <v>0.69894264240992898</v>
      </c>
      <c r="J246" s="10">
        <f>Data!I246</f>
        <v>0.69530000000000003</v>
      </c>
      <c r="K246" s="10">
        <f t="shared" si="18"/>
        <v>0.69892554385184702</v>
      </c>
      <c r="L246" s="10">
        <f>Data!J246</f>
        <v>0.11897207796573639</v>
      </c>
      <c r="M246" s="21">
        <f>Data!K246</f>
        <v>559.1</v>
      </c>
      <c r="N246" s="21">
        <f>Data!M246</f>
        <v>98.767105102539063</v>
      </c>
      <c r="O246" s="21">
        <f>Data!N246</f>
        <v>98.767105102539063</v>
      </c>
      <c r="P246" s="10">
        <f>Data!O246</f>
        <v>0.1943</v>
      </c>
      <c r="Q246" s="10">
        <f t="shared" si="19"/>
        <v>0</v>
      </c>
      <c r="R246" s="10">
        <f>Data!Q246</f>
        <v>-0.6</v>
      </c>
      <c r="S246" s="10">
        <f>Data!P246</f>
        <v>-1</v>
      </c>
      <c r="T246" s="19"/>
    </row>
    <row r="247" spans="1:20" x14ac:dyDescent="0.25">
      <c r="A247" s="7">
        <f>Data!A247</f>
        <v>201405</v>
      </c>
      <c r="B247" s="7">
        <v>71360</v>
      </c>
      <c r="C247" s="7">
        <f>Data!F247</f>
        <v>2007320</v>
      </c>
      <c r="D247" s="7">
        <f>IF(Data!D247="Malawi", 1, 0)</f>
        <v>0</v>
      </c>
      <c r="E247" s="7">
        <f t="shared" si="15"/>
        <v>0</v>
      </c>
      <c r="F247" s="7">
        <f t="shared" si="16"/>
        <v>0</v>
      </c>
      <c r="G247" s="10">
        <f>Data!L247</f>
        <v>0.95403310589742696</v>
      </c>
      <c r="H247" s="10">
        <f t="shared" si="17"/>
        <v>0</v>
      </c>
      <c r="I247" s="10">
        <f>Data!H247</f>
        <v>0.69698611111111108</v>
      </c>
      <c r="J247" s="10">
        <f>Data!I247</f>
        <v>0.69740000000000002</v>
      </c>
      <c r="K247" s="10">
        <f t="shared" si="18"/>
        <v>0.69700513629783689</v>
      </c>
      <c r="L247" s="10">
        <f>Data!J247</f>
        <v>0.10159924626350403</v>
      </c>
      <c r="M247" s="21">
        <f>Data!K247</f>
        <v>559.1</v>
      </c>
      <c r="N247" s="21">
        <f>Data!M247</f>
        <v>83.428855895996094</v>
      </c>
      <c r="O247" s="21">
        <f>Data!N247</f>
        <v>83.428855895996094</v>
      </c>
      <c r="P247" s="10">
        <f>Data!O247</f>
        <v>0.10979999999999999</v>
      </c>
      <c r="Q247" s="10">
        <f t="shared" si="19"/>
        <v>0</v>
      </c>
      <c r="R247" s="10">
        <f>Data!Q247</f>
        <v>-0.6</v>
      </c>
      <c r="S247" s="10">
        <f>Data!P247</f>
        <v>-1</v>
      </c>
      <c r="T247" s="19"/>
    </row>
    <row r="248" spans="1:20" x14ac:dyDescent="0.25">
      <c r="A248" s="7">
        <f>Data!A248</f>
        <v>201404</v>
      </c>
      <c r="B248" s="7">
        <v>71360</v>
      </c>
      <c r="C248" s="7">
        <f>Data!F248</f>
        <v>657936</v>
      </c>
      <c r="D248" s="7">
        <f>IF(Data!D248="Malawi", 1, 0)</f>
        <v>0</v>
      </c>
      <c r="E248" s="7">
        <f t="shared" si="15"/>
        <v>0</v>
      </c>
      <c r="F248" s="7">
        <f t="shared" si="16"/>
        <v>0</v>
      </c>
      <c r="G248" s="10">
        <f>Data!L248</f>
        <v>1</v>
      </c>
      <c r="H248" s="10">
        <f t="shared" si="17"/>
        <v>0</v>
      </c>
      <c r="I248" s="10">
        <f>Data!H248</f>
        <v>0.53704677169210679</v>
      </c>
      <c r="J248" s="10">
        <f>Data!I248</f>
        <v>0.53700000000000003</v>
      </c>
      <c r="K248" s="10">
        <f t="shared" si="18"/>
        <v>0.53704677169210679</v>
      </c>
      <c r="L248" s="10">
        <f>Data!J248</f>
        <v>0.10253579169511795</v>
      </c>
      <c r="M248" s="21">
        <f>Data!K248</f>
        <v>559.1</v>
      </c>
      <c r="N248" s="21">
        <f>Data!M248</f>
        <v>93.221542358398438</v>
      </c>
      <c r="O248" s="21">
        <f>Data!N248</f>
        <v>93.221542358398438</v>
      </c>
      <c r="P248" s="10">
        <f>Data!O248</f>
        <v>5.4600000000000003E-2</v>
      </c>
      <c r="Q248" s="10">
        <f t="shared" si="19"/>
        <v>0</v>
      </c>
      <c r="R248" s="10">
        <f>Data!Q248</f>
        <v>-0.6</v>
      </c>
      <c r="S248" s="10">
        <f>Data!P248</f>
        <v>-1</v>
      </c>
      <c r="T248" s="19"/>
    </row>
    <row r="249" spans="1:20" x14ac:dyDescent="0.25">
      <c r="A249" s="7">
        <f>Data!A249</f>
        <v>201403</v>
      </c>
      <c r="B249" s="7">
        <v>71360</v>
      </c>
      <c r="C249" s="7">
        <f>Data!F249</f>
        <v>1475994</v>
      </c>
      <c r="D249" s="7">
        <f>IF(Data!D249="Malawi", 1, 0)</f>
        <v>0</v>
      </c>
      <c r="E249" s="7">
        <f t="shared" si="15"/>
        <v>0</v>
      </c>
      <c r="F249" s="7">
        <f t="shared" si="16"/>
        <v>0</v>
      </c>
      <c r="G249" s="10">
        <f>Data!L249</f>
        <v>0.97994230533028304</v>
      </c>
      <c r="H249" s="10">
        <f t="shared" si="17"/>
        <v>0</v>
      </c>
      <c r="I249" s="10">
        <f>Data!H249</f>
        <v>0.6259516539440203</v>
      </c>
      <c r="J249" s="10">
        <f>Data!I249</f>
        <v>0.62770000000000004</v>
      </c>
      <c r="K249" s="10">
        <f t="shared" si="18"/>
        <v>0.62598672173538816</v>
      </c>
      <c r="L249" s="10">
        <f>Data!J249</f>
        <v>0.24186046421527863</v>
      </c>
      <c r="M249" s="21">
        <f>Data!K249</f>
        <v>559.1</v>
      </c>
      <c r="N249" s="21">
        <f>Data!M249</f>
        <v>119.83855438232422</v>
      </c>
      <c r="O249" s="21">
        <f>Data!N249</f>
        <v>119.83855438232422</v>
      </c>
      <c r="P249" s="10">
        <f>Data!O249</f>
        <v>0.1192</v>
      </c>
      <c r="Q249" s="10">
        <f t="shared" si="19"/>
        <v>0</v>
      </c>
      <c r="R249" s="10">
        <f>Data!Q249</f>
        <v>-0.6</v>
      </c>
      <c r="S249" s="10">
        <f>Data!P249</f>
        <v>-1</v>
      </c>
      <c r="T249" s="19"/>
    </row>
    <row r="250" spans="1:20" x14ac:dyDescent="0.25">
      <c r="A250" s="7">
        <f>Data!A250</f>
        <v>201402</v>
      </c>
      <c r="B250" s="7">
        <v>71360</v>
      </c>
      <c r="C250" s="7">
        <f>Data!F250</f>
        <v>1114362</v>
      </c>
      <c r="D250" s="7">
        <f>IF(Data!D250="Malawi", 1, 0)</f>
        <v>0</v>
      </c>
      <c r="E250" s="7">
        <f t="shared" si="15"/>
        <v>0</v>
      </c>
      <c r="F250" s="7">
        <f t="shared" si="16"/>
        <v>0</v>
      </c>
      <c r="G250" s="10">
        <f>Data!L250</f>
        <v>0.97800553438011995</v>
      </c>
      <c r="H250" s="10">
        <f t="shared" si="17"/>
        <v>0</v>
      </c>
      <c r="I250" s="10">
        <f>Data!H250</f>
        <v>0.58091213195871128</v>
      </c>
      <c r="J250" s="10">
        <f>Data!I250</f>
        <v>0.58069999999999999</v>
      </c>
      <c r="K250" s="10">
        <f t="shared" si="18"/>
        <v>0.58090746622963851</v>
      </c>
      <c r="L250" s="10">
        <f>Data!J250</f>
        <v>0.10369141399860382</v>
      </c>
      <c r="M250" s="21">
        <f>Data!K250</f>
        <v>559.1</v>
      </c>
      <c r="N250" s="21">
        <f>Data!M250</f>
        <v>69.003524780273438</v>
      </c>
      <c r="O250" s="21">
        <f>Data!N250</f>
        <v>69.003524780273438</v>
      </c>
      <c r="P250" s="10">
        <f>Data!O250</f>
        <v>7.9799999999999996E-2</v>
      </c>
      <c r="Q250" s="10">
        <f t="shared" si="19"/>
        <v>0</v>
      </c>
      <c r="R250" s="10">
        <f>Data!Q250</f>
        <v>-0.6</v>
      </c>
      <c r="S250" s="10">
        <f>Data!P250</f>
        <v>-1</v>
      </c>
      <c r="T250" s="19"/>
    </row>
    <row r="251" spans="1:20" x14ac:dyDescent="0.25">
      <c r="A251" s="7">
        <f>Data!A251</f>
        <v>201401</v>
      </c>
      <c r="B251" s="7">
        <v>71360</v>
      </c>
      <c r="C251" s="7">
        <f>Data!F251</f>
        <v>7188417</v>
      </c>
      <c r="D251" s="7">
        <f>IF(Data!D251="Malawi", 1, 0)</f>
        <v>0</v>
      </c>
      <c r="E251" s="7">
        <f t="shared" si="15"/>
        <v>0</v>
      </c>
      <c r="F251" s="7">
        <f t="shared" si="16"/>
        <v>0</v>
      </c>
      <c r="G251" s="10">
        <f>Data!L251</f>
        <v>1</v>
      </c>
      <c r="H251" s="10">
        <f t="shared" si="17"/>
        <v>0</v>
      </c>
      <c r="I251" s="10">
        <f>Data!H251</f>
        <v>0.55947083728966585</v>
      </c>
      <c r="J251" s="10">
        <f>Data!I251</f>
        <v>0.5595</v>
      </c>
      <c r="K251" s="10">
        <f t="shared" si="18"/>
        <v>0.55947083728966585</v>
      </c>
      <c r="L251" s="10">
        <f>Data!J251</f>
        <v>9.4265513122081757E-2</v>
      </c>
      <c r="M251" s="21">
        <f>Data!K251</f>
        <v>559.1</v>
      </c>
      <c r="N251" s="21">
        <f>Data!M251</f>
        <v>77.915969848632813</v>
      </c>
      <c r="O251" s="21">
        <f>Data!N251</f>
        <v>77.915969848632813</v>
      </c>
      <c r="P251" s="10">
        <f>Data!O251</f>
        <v>0.26090000000000002</v>
      </c>
      <c r="Q251" s="10">
        <f t="shared" si="19"/>
        <v>0</v>
      </c>
      <c r="R251" s="10">
        <f>Data!Q251</f>
        <v>-0.6</v>
      </c>
      <c r="S251" s="10">
        <f>Data!P251</f>
        <v>-1</v>
      </c>
      <c r="T251" s="19"/>
    </row>
    <row r="252" spans="1:20" x14ac:dyDescent="0.25">
      <c r="A252" s="7">
        <f>Data!A252</f>
        <v>201312</v>
      </c>
      <c r="B252" s="7">
        <v>71360</v>
      </c>
      <c r="C252" s="7">
        <f>Data!F252</f>
        <v>18696854</v>
      </c>
      <c r="D252" s="7">
        <f>IF(Data!D252="Malawi", 1, 0)</f>
        <v>0</v>
      </c>
      <c r="E252" s="7">
        <f t="shared" si="15"/>
        <v>0</v>
      </c>
      <c r="F252" s="7">
        <f t="shared" si="16"/>
        <v>0</v>
      </c>
      <c r="G252" s="10">
        <f>Data!L252</f>
        <v>0.99356555397119195</v>
      </c>
      <c r="H252" s="10">
        <f t="shared" si="17"/>
        <v>0</v>
      </c>
      <c r="I252" s="10">
        <f>Data!H252</f>
        <v>0.55584520525139136</v>
      </c>
      <c r="J252" s="10">
        <f>Data!I252</f>
        <v>0.55620000000000003</v>
      </c>
      <c r="K252" s="10">
        <f t="shared" si="18"/>
        <v>0.55584748815905261</v>
      </c>
      <c r="L252" s="10">
        <f>Data!J252</f>
        <v>7.9100750386714935E-2</v>
      </c>
      <c r="M252" s="21">
        <f>Data!K252</f>
        <v>561.9</v>
      </c>
      <c r="N252" s="21">
        <f>Data!M252</f>
        <v>70.372489929199219</v>
      </c>
      <c r="O252" s="21">
        <f>Data!N252</f>
        <v>70.372489929199219</v>
      </c>
      <c r="P252" s="10">
        <f>Data!O252</f>
        <v>0.54379999999999995</v>
      </c>
      <c r="Q252" s="10">
        <f t="shared" si="19"/>
        <v>0</v>
      </c>
      <c r="R252" s="10">
        <f>Data!Q252</f>
        <v>-0.16</v>
      </c>
      <c r="S252" s="10">
        <f>Data!P252</f>
        <v>-1.23</v>
      </c>
      <c r="T252" s="19"/>
    </row>
    <row r="253" spans="1:20" x14ac:dyDescent="0.25">
      <c r="A253" s="7">
        <f>Data!A253</f>
        <v>201311</v>
      </c>
      <c r="B253" s="7">
        <v>71360</v>
      </c>
      <c r="C253" s="7">
        <f>Data!F253</f>
        <v>13909727</v>
      </c>
      <c r="D253" s="7">
        <f>IF(Data!D253="Malawi", 1, 0)</f>
        <v>0</v>
      </c>
      <c r="E253" s="7">
        <f t="shared" si="15"/>
        <v>0</v>
      </c>
      <c r="F253" s="7">
        <f t="shared" si="16"/>
        <v>0</v>
      </c>
      <c r="G253" s="10">
        <f>Data!L253</f>
        <v>1</v>
      </c>
      <c r="H253" s="10">
        <f t="shared" si="17"/>
        <v>0</v>
      </c>
      <c r="I253" s="10">
        <f>Data!H253</f>
        <v>0.53096438155368342</v>
      </c>
      <c r="J253" s="10">
        <f>Data!I253</f>
        <v>0.53100000000000003</v>
      </c>
      <c r="K253" s="10">
        <f t="shared" si="18"/>
        <v>0.53096438155368342</v>
      </c>
      <c r="L253" s="10">
        <f>Data!J253</f>
        <v>0.15906079113483429</v>
      </c>
      <c r="M253" s="21">
        <f>Data!K253</f>
        <v>561.9</v>
      </c>
      <c r="N253" s="21">
        <f>Data!M253</f>
        <v>77.779022216796875</v>
      </c>
      <c r="O253" s="21">
        <f>Data!N253</f>
        <v>77.779022216796875</v>
      </c>
      <c r="P253" s="10">
        <f>Data!O253</f>
        <v>0.40329999999999999</v>
      </c>
      <c r="Q253" s="10">
        <f t="shared" si="19"/>
        <v>0</v>
      </c>
      <c r="R253" s="10">
        <f>Data!Q253</f>
        <v>-0.16</v>
      </c>
      <c r="S253" s="10">
        <f>Data!P253</f>
        <v>-1.23</v>
      </c>
      <c r="T253" s="19"/>
    </row>
    <row r="254" spans="1:20" x14ac:dyDescent="0.25">
      <c r="A254" s="7">
        <f>Data!A254</f>
        <v>201310</v>
      </c>
      <c r="B254" s="7">
        <v>71360</v>
      </c>
      <c r="C254" s="7">
        <f>Data!F254</f>
        <v>10670106</v>
      </c>
      <c r="D254" s="7">
        <f>IF(Data!D254="Malawi", 1, 0)</f>
        <v>0</v>
      </c>
      <c r="E254" s="7">
        <f t="shared" si="15"/>
        <v>0</v>
      </c>
      <c r="F254" s="7">
        <f t="shared" si="16"/>
        <v>0</v>
      </c>
      <c r="G254" s="10">
        <f>Data!L254</f>
        <v>0.99854748813522998</v>
      </c>
      <c r="H254" s="10">
        <f t="shared" si="17"/>
        <v>0</v>
      </c>
      <c r="I254" s="10">
        <f>Data!H254</f>
        <v>0.55211145606954359</v>
      </c>
      <c r="J254" s="10">
        <f>Data!I254</f>
        <v>0.5524</v>
      </c>
      <c r="K254" s="10">
        <f t="shared" si="18"/>
        <v>0.55211187518302618</v>
      </c>
      <c r="L254" s="10">
        <f>Data!J254</f>
        <v>0.12658685445785522</v>
      </c>
      <c r="M254" s="21">
        <f>Data!K254</f>
        <v>561.9</v>
      </c>
      <c r="N254" s="21">
        <f>Data!M254</f>
        <v>72.953117370605469</v>
      </c>
      <c r="O254" s="21">
        <f>Data!N254</f>
        <v>72.953117370605469</v>
      </c>
      <c r="P254" s="10">
        <f>Data!O254</f>
        <v>0.39579999999999999</v>
      </c>
      <c r="Q254" s="10">
        <f t="shared" si="19"/>
        <v>0</v>
      </c>
      <c r="R254" s="10">
        <f>Data!Q254</f>
        <v>-0.16</v>
      </c>
      <c r="S254" s="10">
        <f>Data!P254</f>
        <v>-1.23</v>
      </c>
      <c r="T254" s="19"/>
    </row>
    <row r="255" spans="1:20" x14ac:dyDescent="0.25">
      <c r="A255" s="7">
        <f>Data!A255</f>
        <v>201309</v>
      </c>
      <c r="B255" s="7">
        <v>71360</v>
      </c>
      <c r="C255" s="7">
        <f>Data!F255</f>
        <v>1675311</v>
      </c>
      <c r="D255" s="7">
        <f>IF(Data!D255="Malawi", 1, 0)</f>
        <v>0</v>
      </c>
      <c r="E255" s="7">
        <f t="shared" si="15"/>
        <v>0</v>
      </c>
      <c r="F255" s="7">
        <f t="shared" si="16"/>
        <v>0</v>
      </c>
      <c r="G255" s="10">
        <f>Data!L255</f>
        <v>0.994363155920437</v>
      </c>
      <c r="H255" s="10">
        <f t="shared" si="17"/>
        <v>0</v>
      </c>
      <c r="I255" s="10">
        <f>Data!H255</f>
        <v>0.5976849803781662</v>
      </c>
      <c r="J255" s="10">
        <f>Data!I255</f>
        <v>0.59899999999999998</v>
      </c>
      <c r="K255" s="10">
        <f t="shared" si="18"/>
        <v>0.59769239293873599</v>
      </c>
      <c r="L255" s="10">
        <f>Data!J255</f>
        <v>0.12699145078659058</v>
      </c>
      <c r="M255" s="21">
        <f>Data!K255</f>
        <v>561.9</v>
      </c>
      <c r="N255" s="21">
        <f>Data!M255</f>
        <v>100.45932769775391</v>
      </c>
      <c r="O255" s="21">
        <f>Data!N255</f>
        <v>100.45932769775391</v>
      </c>
      <c r="P255" s="10">
        <f>Data!O255</f>
        <v>7.3999999999999996E-2</v>
      </c>
      <c r="Q255" s="10">
        <f t="shared" si="19"/>
        <v>0</v>
      </c>
      <c r="R255" s="10">
        <f>Data!Q255</f>
        <v>-0.16</v>
      </c>
      <c r="S255" s="10">
        <f>Data!P255</f>
        <v>-1.23</v>
      </c>
      <c r="T255" s="19"/>
    </row>
    <row r="256" spans="1:20" x14ac:dyDescent="0.25">
      <c r="A256" s="7">
        <f>Data!A256</f>
        <v>201308</v>
      </c>
      <c r="B256" s="7">
        <v>71360</v>
      </c>
      <c r="C256" s="7">
        <f>Data!F256</f>
        <v>673192</v>
      </c>
      <c r="D256" s="7">
        <f>IF(Data!D256="Malawi", 1, 0)</f>
        <v>0</v>
      </c>
      <c r="E256" s="7">
        <f t="shared" si="15"/>
        <v>0</v>
      </c>
      <c r="F256" s="7">
        <f t="shared" si="16"/>
        <v>0</v>
      </c>
      <c r="G256" s="10">
        <f>Data!L256</f>
        <v>0.95885505762171996</v>
      </c>
      <c r="H256" s="10">
        <f t="shared" si="17"/>
        <v>0</v>
      </c>
      <c r="I256" s="10">
        <f>Data!H256</f>
        <v>0.64297230181470866</v>
      </c>
      <c r="J256" s="10">
        <f>Data!I256</f>
        <v>0.65549999999999997</v>
      </c>
      <c r="K256" s="10">
        <f t="shared" si="18"/>
        <v>0.64348775323467489</v>
      </c>
      <c r="L256" s="10">
        <f>Data!J256</f>
        <v>0.17600917816162109</v>
      </c>
      <c r="M256" s="21">
        <f>Data!K256</f>
        <v>561.9</v>
      </c>
      <c r="N256" s="21">
        <f>Data!M256</f>
        <v>90.956748962402344</v>
      </c>
      <c r="O256" s="21">
        <f>Data!N256</f>
        <v>90.956748962402344</v>
      </c>
      <c r="P256" s="10">
        <f>Data!O256</f>
        <v>0.35799999999999998</v>
      </c>
      <c r="Q256" s="10">
        <f t="shared" si="19"/>
        <v>0</v>
      </c>
      <c r="R256" s="10">
        <f>Data!Q256</f>
        <v>-0.16</v>
      </c>
      <c r="S256" s="10">
        <f>Data!P256</f>
        <v>-1.23</v>
      </c>
      <c r="T256" s="19"/>
    </row>
    <row r="257" spans="1:20" x14ac:dyDescent="0.25">
      <c r="A257" s="7">
        <f>Data!A257</f>
        <v>201307</v>
      </c>
      <c r="B257" s="7">
        <v>71360</v>
      </c>
      <c r="C257" s="7">
        <f>Data!F257</f>
        <v>825578</v>
      </c>
      <c r="D257" s="7">
        <f>IF(Data!D257="Malawi", 1, 0)</f>
        <v>0</v>
      </c>
      <c r="E257" s="7">
        <f t="shared" si="15"/>
        <v>0</v>
      </c>
      <c r="F257" s="7">
        <f t="shared" si="16"/>
        <v>0</v>
      </c>
      <c r="G257" s="10">
        <f>Data!L257</f>
        <v>0.91201716264076604</v>
      </c>
      <c r="H257" s="10">
        <f t="shared" si="17"/>
        <v>0</v>
      </c>
      <c r="I257" s="10">
        <f>Data!H257</f>
        <v>0.67065637692932578</v>
      </c>
      <c r="J257" s="10">
        <f>Data!I257</f>
        <v>0.69869999999999999</v>
      </c>
      <c r="K257" s="10">
        <f t="shared" si="18"/>
        <v>0.67312373445691653</v>
      </c>
      <c r="L257" s="10">
        <f>Data!J257</f>
        <v>7.8542254865169525E-2</v>
      </c>
      <c r="M257" s="21">
        <f>Data!K257</f>
        <v>561.9</v>
      </c>
      <c r="N257" s="21">
        <f>Data!M257</f>
        <v>73.975814819335938</v>
      </c>
      <c r="O257" s="21">
        <f>Data!N257</f>
        <v>73.975814819335938</v>
      </c>
      <c r="P257" s="10">
        <f>Data!O257</f>
        <v>0.40200000000000002</v>
      </c>
      <c r="Q257" s="10">
        <f t="shared" si="19"/>
        <v>0</v>
      </c>
      <c r="R257" s="10">
        <f>Data!Q257</f>
        <v>-0.16</v>
      </c>
      <c r="S257" s="10">
        <f>Data!P257</f>
        <v>-1.23</v>
      </c>
      <c r="T257" s="19"/>
    </row>
    <row r="258" spans="1:20" x14ac:dyDescent="0.25">
      <c r="A258" s="7">
        <f>Data!A258</f>
        <v>201306</v>
      </c>
      <c r="B258" s="7">
        <v>71360</v>
      </c>
      <c r="C258" s="7">
        <f>Data!F258</f>
        <v>1078935</v>
      </c>
      <c r="D258" s="7">
        <f>IF(Data!D258="Malawi", 1, 0)</f>
        <v>0</v>
      </c>
      <c r="E258" s="7">
        <f t="shared" si="15"/>
        <v>0</v>
      </c>
      <c r="F258" s="7">
        <f t="shared" ref="F258:F260" si="20">D258*E258</f>
        <v>0</v>
      </c>
      <c r="G258" s="10">
        <f>Data!L258</f>
        <v>0.92924801306365401</v>
      </c>
      <c r="H258" s="10">
        <f t="shared" si="17"/>
        <v>0</v>
      </c>
      <c r="I258" s="10">
        <f>Data!H258</f>
        <v>0.6468435251798561</v>
      </c>
      <c r="J258" s="10">
        <f>Data!I258</f>
        <v>0.66990000000000005</v>
      </c>
      <c r="K258" s="10">
        <f t="shared" si="18"/>
        <v>0.64847481658512918</v>
      </c>
      <c r="L258" s="10">
        <f>Data!J258</f>
        <v>0.11796491593122482</v>
      </c>
      <c r="M258" s="21">
        <f>Data!K258</f>
        <v>561.9</v>
      </c>
      <c r="N258" s="21">
        <f>Data!M258</f>
        <v>82.973007202148438</v>
      </c>
      <c r="O258" s="21">
        <f>Data!N258</f>
        <v>82.973007202148438</v>
      </c>
      <c r="P258" s="10">
        <f>Data!O258</f>
        <v>0.55100000000000005</v>
      </c>
      <c r="Q258" s="10">
        <f t="shared" si="19"/>
        <v>0</v>
      </c>
      <c r="R258" s="10">
        <f>Data!Q258</f>
        <v>-0.16</v>
      </c>
      <c r="S258" s="10">
        <f>Data!P258</f>
        <v>-1.23</v>
      </c>
      <c r="T258" s="19"/>
    </row>
    <row r="259" spans="1:20" x14ac:dyDescent="0.25">
      <c r="A259" s="7">
        <f>Data!A259</f>
        <v>201305</v>
      </c>
      <c r="B259" s="7">
        <v>71360</v>
      </c>
      <c r="C259" s="7">
        <f>Data!F259</f>
        <v>9629580</v>
      </c>
      <c r="D259" s="7">
        <f>IF(Data!D259="Malawi", 1, 0)</f>
        <v>0</v>
      </c>
      <c r="E259" s="7">
        <f t="shared" si="15"/>
        <v>0</v>
      </c>
      <c r="F259" s="7">
        <f t="shared" si="20"/>
        <v>0</v>
      </c>
      <c r="G259" s="10">
        <f>Data!L259</f>
        <v>0.997758416713172</v>
      </c>
      <c r="H259" s="10">
        <f t="shared" ref="H259:H260" si="21">F259*G259</f>
        <v>0</v>
      </c>
      <c r="I259" s="10">
        <f>Data!H259</f>
        <v>0.64386065792992775</v>
      </c>
      <c r="J259" s="10">
        <f>Data!I259</f>
        <v>0.64319999999999999</v>
      </c>
      <c r="K259" s="10">
        <f t="shared" ref="K259:K260" si="22">(I259*G259)+(J259*(1-G259))</f>
        <v>0.64385917701015372</v>
      </c>
      <c r="L259" s="10">
        <f>Data!J259</f>
        <v>0.12266397476196289</v>
      </c>
      <c r="M259" s="21">
        <f>Data!K259</f>
        <v>561.9</v>
      </c>
      <c r="N259" s="21">
        <f>Data!M259</f>
        <v>83.717315673828125</v>
      </c>
      <c r="O259" s="21">
        <f>Data!N259</f>
        <v>83.717315673828125</v>
      </c>
      <c r="P259" s="10">
        <f>Data!O259</f>
        <v>0.32440000000000002</v>
      </c>
      <c r="Q259" s="10">
        <f t="shared" ref="Q259:Q260" si="23">P259*F259</f>
        <v>0</v>
      </c>
      <c r="R259" s="10">
        <f>Data!Q259</f>
        <v>-0.16</v>
      </c>
      <c r="S259" s="10">
        <f>Data!P259</f>
        <v>-1.23</v>
      </c>
      <c r="T259" s="19"/>
    </row>
    <row r="260" spans="1:20" x14ac:dyDescent="0.25">
      <c r="A260" s="7">
        <f>Data!A260</f>
        <v>201304</v>
      </c>
      <c r="B260" s="7">
        <v>71360</v>
      </c>
      <c r="C260" s="7">
        <f>Data!F260</f>
        <v>6075152</v>
      </c>
      <c r="D260" s="7">
        <f>IF(Data!D260="Malawi", 1, 0)</f>
        <v>0</v>
      </c>
      <c r="E260" s="7">
        <f t="shared" si="15"/>
        <v>0</v>
      </c>
      <c r="F260" s="7">
        <f t="shared" si="20"/>
        <v>0</v>
      </c>
      <c r="G260" s="10">
        <f>Data!L260</f>
        <v>0.99531468359614905</v>
      </c>
      <c r="H260" s="10">
        <f t="shared" si="21"/>
        <v>0</v>
      </c>
      <c r="I260" s="10">
        <f>Data!H260</f>
        <v>0.61501842478234459</v>
      </c>
      <c r="J260" s="10">
        <f>Data!I260</f>
        <v>0.61639999999999995</v>
      </c>
      <c r="K260" s="10">
        <f t="shared" si="22"/>
        <v>0.61502489789937498</v>
      </c>
      <c r="L260" s="10">
        <f>Data!J260</f>
        <v>0.14600180089473724</v>
      </c>
      <c r="M260" s="21">
        <f>Data!K260</f>
        <v>561.9</v>
      </c>
      <c r="N260" s="21">
        <f>Data!M260</f>
        <v>95.107872009277344</v>
      </c>
      <c r="O260" s="21">
        <f>Data!N260</f>
        <v>95.107872009277344</v>
      </c>
      <c r="P260" s="10">
        <f>Data!O260</f>
        <v>0.19939999999999999</v>
      </c>
      <c r="Q260" s="10">
        <f t="shared" si="23"/>
        <v>0</v>
      </c>
      <c r="R260" s="10">
        <f>Data!Q260</f>
        <v>-0.16</v>
      </c>
      <c r="S260" s="10">
        <f>Data!P260</f>
        <v>-1.23</v>
      </c>
      <c r="T260" s="19"/>
    </row>
    <row r="261" spans="1:20" x14ac:dyDescent="0.25">
      <c r="N261" s="20"/>
      <c r="O261" s="20"/>
      <c r="P261" s="20"/>
      <c r="Q261" s="20"/>
      <c r="R261" s="20"/>
      <c r="S26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Devneel Daga</dc:creator>
  <cp:lastModifiedBy>Devneel Daga</cp:lastModifiedBy>
  <dcterms:created xsi:type="dcterms:W3CDTF">2025-09-18T11:10:23Z</dcterms:created>
  <dcterms:modified xsi:type="dcterms:W3CDTF">2025-11-20T19:18:08Z</dcterms:modified>
</cp:coreProperties>
</file>