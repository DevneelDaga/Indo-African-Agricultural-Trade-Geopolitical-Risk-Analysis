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neel\Acads\4-1\SOP\Tables\MoU_tables\"/>
    </mc:Choice>
  </mc:AlternateContent>
  <xr:revisionPtr revIDLastSave="0" documentId="13_ncr:1_{78B892EA-16B8-43C5-9DD8-6BAE23E9EF71}" xr6:coauthVersionLast="47" xr6:coauthVersionMax="47" xr10:uidLastSave="{00000000-0000-0000-0000-000000000000}"/>
  <bookViews>
    <workbookView xWindow="-120" yWindow="-120" windowWidth="29040" windowHeight="15720" xr2:uid="{38E007F3-2B75-4CF4-B1E9-57277E0E1F5A}"/>
  </bookViews>
  <sheets>
    <sheet name="Data" sheetId="1" r:id="rId1"/>
    <sheet name="Reg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37" i="1" l="1"/>
  <c r="N236" i="1"/>
  <c r="N235" i="1"/>
  <c r="P237" i="1"/>
  <c r="P236" i="1"/>
  <c r="P235" i="1"/>
  <c r="L237" i="1"/>
  <c r="L236" i="1"/>
  <c r="L235" i="1"/>
  <c r="F237" i="1"/>
  <c r="F236" i="1"/>
  <c r="F235" i="1"/>
  <c r="P221" i="2" l="1"/>
  <c r="S221" i="2" s="1"/>
  <c r="S233" i="2"/>
  <c r="S232" i="2"/>
  <c r="S231" i="2"/>
  <c r="S230" i="2"/>
  <c r="S229" i="2"/>
  <c r="S228" i="2"/>
  <c r="S227" i="2"/>
  <c r="S226" i="2"/>
  <c r="S225" i="2"/>
  <c r="S224" i="2"/>
  <c r="S223" i="2"/>
  <c r="S222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S2" i="2"/>
  <c r="R233" i="2" l="1"/>
  <c r="R232" i="2"/>
  <c r="R231" i="2"/>
  <c r="R230" i="2"/>
  <c r="R229" i="2"/>
  <c r="R228" i="2"/>
  <c r="R227" i="2"/>
  <c r="R226" i="2"/>
  <c r="R225" i="2"/>
  <c r="R224" i="2"/>
  <c r="R223" i="2"/>
  <c r="R222" i="2"/>
  <c r="R221" i="2"/>
  <c r="R220" i="2"/>
  <c r="R219" i="2"/>
  <c r="R218" i="2"/>
  <c r="R217" i="2"/>
  <c r="R216" i="2"/>
  <c r="R215" i="2"/>
  <c r="R214" i="2"/>
  <c r="R213" i="2"/>
  <c r="R212" i="2"/>
  <c r="R211" i="2"/>
  <c r="R210" i="2"/>
  <c r="R209" i="2"/>
  <c r="R208" i="2"/>
  <c r="R207" i="2"/>
  <c r="R206" i="2"/>
  <c r="R205" i="2"/>
  <c r="R204" i="2"/>
  <c r="R203" i="2"/>
  <c r="R202" i="2"/>
  <c r="R201" i="2"/>
  <c r="R200" i="2"/>
  <c r="R199" i="2"/>
  <c r="R198" i="2"/>
  <c r="R197" i="2"/>
  <c r="R196" i="2"/>
  <c r="R195" i="2"/>
  <c r="R194" i="2"/>
  <c r="R193" i="2"/>
  <c r="R192" i="2"/>
  <c r="R191" i="2"/>
  <c r="R190" i="2"/>
  <c r="R189" i="2"/>
  <c r="R188" i="2"/>
  <c r="R187" i="2"/>
  <c r="R186" i="2"/>
  <c r="R185" i="2"/>
  <c r="R184" i="2"/>
  <c r="R183" i="2"/>
  <c r="R182" i="2"/>
  <c r="R181" i="2"/>
  <c r="R180" i="2"/>
  <c r="R179" i="2"/>
  <c r="R178" i="2"/>
  <c r="R177" i="2"/>
  <c r="R176" i="2"/>
  <c r="R175" i="2"/>
  <c r="R174" i="2"/>
  <c r="R173" i="2"/>
  <c r="R172" i="2"/>
  <c r="R171" i="2"/>
  <c r="R170" i="2"/>
  <c r="R169" i="2"/>
  <c r="R168" i="2"/>
  <c r="R167" i="2"/>
  <c r="R166" i="2"/>
  <c r="R165" i="2"/>
  <c r="R164" i="2"/>
  <c r="R163" i="2"/>
  <c r="R162" i="2"/>
  <c r="R161" i="2"/>
  <c r="R160" i="2"/>
  <c r="R159" i="2"/>
  <c r="R158" i="2"/>
  <c r="R157" i="2"/>
  <c r="R156" i="2"/>
  <c r="R155" i="2"/>
  <c r="R154" i="2"/>
  <c r="R153" i="2"/>
  <c r="R152" i="2"/>
  <c r="R151" i="2"/>
  <c r="R150" i="2"/>
  <c r="R149" i="2"/>
  <c r="R148" i="2"/>
  <c r="R147" i="2"/>
  <c r="R146" i="2"/>
  <c r="R145" i="2"/>
  <c r="R144" i="2"/>
  <c r="R143" i="2"/>
  <c r="R142" i="2"/>
  <c r="R141" i="2"/>
  <c r="R140" i="2"/>
  <c r="R139" i="2"/>
  <c r="R138" i="2"/>
  <c r="R137" i="2"/>
  <c r="R136" i="2"/>
  <c r="R135" i="2"/>
  <c r="R134" i="2"/>
  <c r="R133" i="2"/>
  <c r="R132" i="2"/>
  <c r="R131" i="2"/>
  <c r="R130" i="2"/>
  <c r="R129" i="2"/>
  <c r="R128" i="2"/>
  <c r="R127" i="2"/>
  <c r="R126" i="2"/>
  <c r="R125" i="2"/>
  <c r="R124" i="2"/>
  <c r="R123" i="2"/>
  <c r="R122" i="2"/>
  <c r="R121" i="2"/>
  <c r="R120" i="2"/>
  <c r="R119" i="2"/>
  <c r="R118" i="2"/>
  <c r="R117" i="2"/>
  <c r="R116" i="2"/>
  <c r="R115" i="2"/>
  <c r="R114" i="2"/>
  <c r="R113" i="2"/>
  <c r="R112" i="2"/>
  <c r="R111" i="2"/>
  <c r="R110" i="2"/>
  <c r="R109" i="2"/>
  <c r="R108" i="2"/>
  <c r="R90" i="2"/>
  <c r="R89" i="2"/>
  <c r="R88" i="2"/>
  <c r="R87" i="2"/>
  <c r="R86" i="2"/>
  <c r="R85" i="2"/>
  <c r="R84" i="2"/>
  <c r="R83" i="2"/>
  <c r="R82" i="2"/>
  <c r="R81" i="2"/>
  <c r="R80" i="2"/>
  <c r="R79" i="2"/>
  <c r="R78" i="2"/>
  <c r="R77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C89" i="2" l="1"/>
  <c r="O233" i="1" l="1"/>
  <c r="O233" i="2" s="1"/>
  <c r="O232" i="1"/>
  <c r="O232" i="2" s="1"/>
  <c r="O231" i="1"/>
  <c r="O231" i="2" s="1"/>
  <c r="O230" i="1"/>
  <c r="O230" i="2" s="1"/>
  <c r="O229" i="1"/>
  <c r="O229" i="2" s="1"/>
  <c r="O228" i="1"/>
  <c r="O228" i="2" s="1"/>
  <c r="O227" i="1"/>
  <c r="O227" i="2" s="1"/>
  <c r="O226" i="1"/>
  <c r="O226" i="2" s="1"/>
  <c r="O225" i="1"/>
  <c r="O225" i="2" s="1"/>
  <c r="O224" i="1"/>
  <c r="O224" i="2" s="1"/>
  <c r="O223" i="1"/>
  <c r="O223" i="2" s="1"/>
  <c r="O222" i="1"/>
  <c r="O222" i="2" s="1"/>
  <c r="O221" i="1"/>
  <c r="O221" i="2" s="1"/>
  <c r="O220" i="1"/>
  <c r="O220" i="2" s="1"/>
  <c r="O219" i="1"/>
  <c r="O219" i="2" s="1"/>
  <c r="O218" i="1"/>
  <c r="O218" i="2" s="1"/>
  <c r="O217" i="1"/>
  <c r="O217" i="2" s="1"/>
  <c r="O216" i="1"/>
  <c r="O216" i="2" s="1"/>
  <c r="O215" i="1"/>
  <c r="O215" i="2" s="1"/>
  <c r="O214" i="1"/>
  <c r="O214" i="2" s="1"/>
  <c r="O213" i="1"/>
  <c r="O213" i="2" s="1"/>
  <c r="O212" i="1"/>
  <c r="O212" i="2" s="1"/>
  <c r="O211" i="1"/>
  <c r="O211" i="2" s="1"/>
  <c r="O210" i="1"/>
  <c r="O210" i="2" s="1"/>
  <c r="O209" i="1"/>
  <c r="O209" i="2" s="1"/>
  <c r="O208" i="1"/>
  <c r="O208" i="2" s="1"/>
  <c r="O207" i="1"/>
  <c r="O207" i="2" s="1"/>
  <c r="O206" i="1"/>
  <c r="O206" i="2" s="1"/>
  <c r="O205" i="1"/>
  <c r="O205" i="2" s="1"/>
  <c r="O204" i="1"/>
  <c r="O204" i="2" s="1"/>
  <c r="O203" i="1"/>
  <c r="O203" i="2" s="1"/>
  <c r="O202" i="1"/>
  <c r="O202" i="2" s="1"/>
  <c r="O201" i="1"/>
  <c r="O201" i="2" s="1"/>
  <c r="O200" i="1"/>
  <c r="O200" i="2" s="1"/>
  <c r="O199" i="1"/>
  <c r="O199" i="2" s="1"/>
  <c r="O198" i="1"/>
  <c r="O198" i="2" s="1"/>
  <c r="O197" i="1"/>
  <c r="O197" i="2" s="1"/>
  <c r="O196" i="1"/>
  <c r="O196" i="2" s="1"/>
  <c r="O195" i="1"/>
  <c r="O195" i="2" s="1"/>
  <c r="O194" i="1"/>
  <c r="O194" i="2" s="1"/>
  <c r="O193" i="1"/>
  <c r="O193" i="2" s="1"/>
  <c r="O192" i="1"/>
  <c r="O192" i="2" s="1"/>
  <c r="O191" i="1"/>
  <c r="O191" i="2" s="1"/>
  <c r="O190" i="1"/>
  <c r="O190" i="2" s="1"/>
  <c r="O189" i="1"/>
  <c r="O189" i="2" s="1"/>
  <c r="O188" i="1"/>
  <c r="O188" i="2" s="1"/>
  <c r="O187" i="1"/>
  <c r="O187" i="2" s="1"/>
  <c r="O186" i="1"/>
  <c r="O186" i="2" s="1"/>
  <c r="O185" i="1"/>
  <c r="O185" i="2" s="1"/>
  <c r="O184" i="1"/>
  <c r="O184" i="2" s="1"/>
  <c r="O183" i="1"/>
  <c r="O183" i="2" s="1"/>
  <c r="O182" i="1"/>
  <c r="O182" i="2" s="1"/>
  <c r="O181" i="1"/>
  <c r="O181" i="2" s="1"/>
  <c r="O180" i="1"/>
  <c r="O180" i="2" s="1"/>
  <c r="O179" i="1"/>
  <c r="O179" i="2" s="1"/>
  <c r="O178" i="1"/>
  <c r="O178" i="2" s="1"/>
  <c r="O177" i="1"/>
  <c r="O177" i="2" s="1"/>
  <c r="O176" i="1"/>
  <c r="O176" i="2" s="1"/>
  <c r="O175" i="1"/>
  <c r="O175" i="2" s="1"/>
  <c r="O174" i="1"/>
  <c r="O174" i="2" s="1"/>
  <c r="O173" i="1"/>
  <c r="O173" i="2" s="1"/>
  <c r="O172" i="1"/>
  <c r="O172" i="2" s="1"/>
  <c r="O171" i="1"/>
  <c r="O171" i="2" s="1"/>
  <c r="O170" i="1"/>
  <c r="O170" i="2" s="1"/>
  <c r="O169" i="1"/>
  <c r="O169" i="2" s="1"/>
  <c r="O168" i="1"/>
  <c r="O168" i="2" s="1"/>
  <c r="O167" i="1"/>
  <c r="O167" i="2" s="1"/>
  <c r="O166" i="1"/>
  <c r="O166" i="2" s="1"/>
  <c r="O165" i="1"/>
  <c r="O165" i="2" s="1"/>
  <c r="O164" i="1"/>
  <c r="O164" i="2" s="1"/>
  <c r="O163" i="1"/>
  <c r="O163" i="2" s="1"/>
  <c r="O162" i="1"/>
  <c r="O162" i="2" s="1"/>
  <c r="O161" i="1"/>
  <c r="O161" i="2" s="1"/>
  <c r="O160" i="1"/>
  <c r="O160" i="2" s="1"/>
  <c r="O159" i="1"/>
  <c r="O159" i="2" s="1"/>
  <c r="O158" i="1"/>
  <c r="O158" i="2" s="1"/>
  <c r="O157" i="1"/>
  <c r="O157" i="2" s="1"/>
  <c r="O156" i="1"/>
  <c r="O156" i="2" s="1"/>
  <c r="O155" i="1"/>
  <c r="O155" i="2" s="1"/>
  <c r="O154" i="1"/>
  <c r="O154" i="2" s="1"/>
  <c r="O153" i="1"/>
  <c r="O153" i="2" s="1"/>
  <c r="O152" i="1"/>
  <c r="O152" i="2" s="1"/>
  <c r="O151" i="1"/>
  <c r="O151" i="2" s="1"/>
  <c r="O150" i="1"/>
  <c r="O150" i="2" s="1"/>
  <c r="O149" i="1"/>
  <c r="O149" i="2" s="1"/>
  <c r="O148" i="1"/>
  <c r="O148" i="2" s="1"/>
  <c r="O147" i="1"/>
  <c r="O147" i="2" s="1"/>
  <c r="O146" i="1"/>
  <c r="O146" i="2" s="1"/>
  <c r="O145" i="1"/>
  <c r="O145" i="2" s="1"/>
  <c r="O144" i="1"/>
  <c r="O144" i="2" s="1"/>
  <c r="O143" i="1"/>
  <c r="O143" i="2" s="1"/>
  <c r="O142" i="1"/>
  <c r="O142" i="2" s="1"/>
  <c r="O141" i="1"/>
  <c r="O141" i="2" s="1"/>
  <c r="O140" i="1"/>
  <c r="O140" i="2" s="1"/>
  <c r="O139" i="1"/>
  <c r="O139" i="2" s="1"/>
  <c r="O138" i="1"/>
  <c r="O138" i="2" s="1"/>
  <c r="O137" i="1"/>
  <c r="O137" i="2" s="1"/>
  <c r="O136" i="1"/>
  <c r="O136" i="2" s="1"/>
  <c r="O135" i="1"/>
  <c r="O135" i="2" s="1"/>
  <c r="O134" i="1"/>
  <c r="O134" i="2" s="1"/>
  <c r="O133" i="1"/>
  <c r="O133" i="2" s="1"/>
  <c r="O132" i="1"/>
  <c r="O132" i="2" s="1"/>
  <c r="O131" i="1"/>
  <c r="O131" i="2" s="1"/>
  <c r="O130" i="1"/>
  <c r="O130" i="2" s="1"/>
  <c r="O129" i="1"/>
  <c r="O129" i="2" s="1"/>
  <c r="O128" i="1"/>
  <c r="O128" i="2" s="1"/>
  <c r="O127" i="1"/>
  <c r="O127" i="2" s="1"/>
  <c r="O126" i="1"/>
  <c r="O126" i="2" s="1"/>
  <c r="O125" i="1"/>
  <c r="O125" i="2" s="1"/>
  <c r="O124" i="1"/>
  <c r="O124" i="2" s="1"/>
  <c r="O123" i="1"/>
  <c r="O123" i="2" s="1"/>
  <c r="O122" i="1"/>
  <c r="O122" i="2" s="1"/>
  <c r="O121" i="1"/>
  <c r="O121" i="2" s="1"/>
  <c r="O120" i="1"/>
  <c r="O120" i="2" s="1"/>
  <c r="O119" i="1"/>
  <c r="O119" i="2" s="1"/>
  <c r="O118" i="1"/>
  <c r="O118" i="2" s="1"/>
  <c r="O117" i="1"/>
  <c r="O117" i="2" s="1"/>
  <c r="O116" i="1"/>
  <c r="O116" i="2" s="1"/>
  <c r="O115" i="1"/>
  <c r="O115" i="2" s="1"/>
  <c r="O114" i="1"/>
  <c r="O114" i="2" s="1"/>
  <c r="O113" i="1"/>
  <c r="O113" i="2" s="1"/>
  <c r="O112" i="1"/>
  <c r="O112" i="2" s="1"/>
  <c r="O111" i="1"/>
  <c r="O111" i="2" s="1"/>
  <c r="O110" i="1"/>
  <c r="O110" i="2" s="1"/>
  <c r="O109" i="1"/>
  <c r="O109" i="2" s="1"/>
  <c r="O108" i="1"/>
  <c r="O108" i="2" s="1"/>
  <c r="O107" i="1"/>
  <c r="O107" i="2" s="1"/>
  <c r="O106" i="1"/>
  <c r="O106" i="2" s="1"/>
  <c r="O105" i="1"/>
  <c r="O105" i="2" s="1"/>
  <c r="O104" i="1"/>
  <c r="O104" i="2" s="1"/>
  <c r="O103" i="1"/>
  <c r="O103" i="2" s="1"/>
  <c r="O102" i="1"/>
  <c r="O102" i="2" s="1"/>
  <c r="O101" i="1"/>
  <c r="O101" i="2" s="1"/>
  <c r="O100" i="1"/>
  <c r="O100" i="2" s="1"/>
  <c r="O99" i="1"/>
  <c r="O99" i="2" s="1"/>
  <c r="O98" i="1"/>
  <c r="O98" i="2" s="1"/>
  <c r="O97" i="1"/>
  <c r="O97" i="2" s="1"/>
  <c r="O96" i="1"/>
  <c r="O96" i="2" s="1"/>
  <c r="O95" i="1"/>
  <c r="O95" i="2" s="1"/>
  <c r="O94" i="1"/>
  <c r="O94" i="2" s="1"/>
  <c r="O93" i="1"/>
  <c r="O93" i="2" s="1"/>
  <c r="O92" i="1"/>
  <c r="O92" i="2" s="1"/>
  <c r="O91" i="1"/>
  <c r="O91" i="2" s="1"/>
  <c r="O90" i="1"/>
  <c r="O90" i="2" s="1"/>
  <c r="O89" i="1"/>
  <c r="O89" i="2" s="1"/>
  <c r="O88" i="1"/>
  <c r="O88" i="2" s="1"/>
  <c r="O87" i="1"/>
  <c r="O87" i="2" s="1"/>
  <c r="O86" i="1"/>
  <c r="O86" i="2" s="1"/>
  <c r="O85" i="1"/>
  <c r="O85" i="2" s="1"/>
  <c r="O84" i="1"/>
  <c r="O84" i="2" s="1"/>
  <c r="O83" i="1"/>
  <c r="O83" i="2" s="1"/>
  <c r="O82" i="1"/>
  <c r="O82" i="2" s="1"/>
  <c r="O81" i="1"/>
  <c r="O81" i="2" s="1"/>
  <c r="O80" i="1"/>
  <c r="O80" i="2" s="1"/>
  <c r="O79" i="1"/>
  <c r="O79" i="2" s="1"/>
  <c r="O78" i="1"/>
  <c r="O78" i="2" s="1"/>
  <c r="O77" i="1"/>
  <c r="O77" i="2" s="1"/>
  <c r="O76" i="1"/>
  <c r="O76" i="2" s="1"/>
  <c r="O75" i="1"/>
  <c r="O75" i="2" s="1"/>
  <c r="O74" i="1"/>
  <c r="O74" i="2" s="1"/>
  <c r="O73" i="1"/>
  <c r="O73" i="2" s="1"/>
  <c r="O72" i="1"/>
  <c r="O72" i="2" s="1"/>
  <c r="O71" i="1"/>
  <c r="O71" i="2" s="1"/>
  <c r="O70" i="1"/>
  <c r="O70" i="2" s="1"/>
  <c r="O69" i="1"/>
  <c r="O69" i="2" s="1"/>
  <c r="O68" i="1"/>
  <c r="O68" i="2" s="1"/>
  <c r="O67" i="1"/>
  <c r="O67" i="2" s="1"/>
  <c r="O66" i="1"/>
  <c r="O66" i="2" s="1"/>
  <c r="O65" i="1"/>
  <c r="O65" i="2" s="1"/>
  <c r="O64" i="1"/>
  <c r="O64" i="2" s="1"/>
  <c r="O63" i="1"/>
  <c r="O63" i="2" s="1"/>
  <c r="O62" i="1"/>
  <c r="O62" i="2" s="1"/>
  <c r="O61" i="1"/>
  <c r="O61" i="2" s="1"/>
  <c r="O60" i="1"/>
  <c r="O60" i="2" s="1"/>
  <c r="O59" i="1"/>
  <c r="O59" i="2" s="1"/>
  <c r="O58" i="1"/>
  <c r="O58" i="2" s="1"/>
  <c r="O57" i="1"/>
  <c r="O57" i="2" s="1"/>
  <c r="O56" i="1"/>
  <c r="O56" i="2" s="1"/>
  <c r="O55" i="1"/>
  <c r="O55" i="2" s="1"/>
  <c r="O54" i="1"/>
  <c r="O54" i="2" s="1"/>
  <c r="O53" i="1"/>
  <c r="O53" i="2" s="1"/>
  <c r="O52" i="1"/>
  <c r="O52" i="2" s="1"/>
  <c r="O51" i="1"/>
  <c r="O51" i="2" s="1"/>
  <c r="O50" i="1"/>
  <c r="O50" i="2" s="1"/>
  <c r="O49" i="1"/>
  <c r="O49" i="2" s="1"/>
  <c r="O48" i="1"/>
  <c r="O48" i="2" s="1"/>
  <c r="O47" i="1"/>
  <c r="O47" i="2" s="1"/>
  <c r="O46" i="1"/>
  <c r="O46" i="2" s="1"/>
  <c r="O45" i="1"/>
  <c r="O45" i="2" s="1"/>
  <c r="O44" i="1"/>
  <c r="O44" i="2" s="1"/>
  <c r="O43" i="1"/>
  <c r="O43" i="2" s="1"/>
  <c r="O42" i="1"/>
  <c r="O42" i="2" s="1"/>
  <c r="O41" i="1"/>
  <c r="O41" i="2" s="1"/>
  <c r="O40" i="1"/>
  <c r="O40" i="2" s="1"/>
  <c r="O39" i="1"/>
  <c r="O39" i="2" s="1"/>
  <c r="O38" i="1"/>
  <c r="O38" i="2" s="1"/>
  <c r="O37" i="1"/>
  <c r="O37" i="2" s="1"/>
  <c r="O36" i="1"/>
  <c r="O36" i="2" s="1"/>
  <c r="O35" i="1"/>
  <c r="O35" i="2" s="1"/>
  <c r="O34" i="1"/>
  <c r="O34" i="2" s="1"/>
  <c r="O33" i="1"/>
  <c r="O33" i="2" s="1"/>
  <c r="O32" i="1"/>
  <c r="O32" i="2" s="1"/>
  <c r="O31" i="1"/>
  <c r="O31" i="2" s="1"/>
  <c r="O30" i="1"/>
  <c r="O30" i="2" s="1"/>
  <c r="O29" i="1"/>
  <c r="O29" i="2" s="1"/>
  <c r="O28" i="1"/>
  <c r="O28" i="2" s="1"/>
  <c r="O27" i="1"/>
  <c r="O27" i="2" s="1"/>
  <c r="O26" i="1"/>
  <c r="O26" i="2" s="1"/>
  <c r="O25" i="1"/>
  <c r="O25" i="2" s="1"/>
  <c r="O24" i="1"/>
  <c r="O24" i="2" s="1"/>
  <c r="O23" i="1"/>
  <c r="O23" i="2" s="1"/>
  <c r="O22" i="1"/>
  <c r="O22" i="2" s="1"/>
  <c r="O21" i="1"/>
  <c r="O21" i="2" s="1"/>
  <c r="O20" i="1"/>
  <c r="O20" i="2" s="1"/>
  <c r="O19" i="1"/>
  <c r="O19" i="2" s="1"/>
  <c r="O18" i="1"/>
  <c r="O18" i="2" s="1"/>
  <c r="O17" i="1"/>
  <c r="O17" i="2" s="1"/>
  <c r="O16" i="1"/>
  <c r="O16" i="2" s="1"/>
  <c r="O15" i="1"/>
  <c r="O15" i="2" s="1"/>
  <c r="O14" i="1"/>
  <c r="O14" i="2" s="1"/>
  <c r="O13" i="1"/>
  <c r="O13" i="2" s="1"/>
  <c r="O12" i="1"/>
  <c r="O12" i="2" s="1"/>
  <c r="O11" i="1"/>
  <c r="O11" i="2" s="1"/>
  <c r="O10" i="1"/>
  <c r="O10" i="2" s="1"/>
  <c r="O9" i="1"/>
  <c r="O9" i="2" s="1"/>
  <c r="O8" i="1"/>
  <c r="O8" i="2" s="1"/>
  <c r="O7" i="1"/>
  <c r="O7" i="2" s="1"/>
  <c r="O6" i="1"/>
  <c r="O6" i="2" s="1"/>
  <c r="O5" i="1"/>
  <c r="O5" i="2" s="1"/>
  <c r="O4" i="1"/>
  <c r="O4" i="2" s="1"/>
  <c r="O3" i="1"/>
  <c r="O3" i="2" s="1"/>
  <c r="O2" i="1"/>
  <c r="O2" i="2" s="1"/>
  <c r="N233" i="2"/>
  <c r="N232" i="2"/>
  <c r="N231" i="2"/>
  <c r="N230" i="2"/>
  <c r="N229" i="2"/>
  <c r="N228" i="2"/>
  <c r="N227" i="2"/>
  <c r="N226" i="2"/>
  <c r="N225" i="2"/>
  <c r="N224" i="2"/>
  <c r="N223" i="2"/>
  <c r="N222" i="2"/>
  <c r="N221" i="2"/>
  <c r="N220" i="2"/>
  <c r="N219" i="2"/>
  <c r="N218" i="2"/>
  <c r="N217" i="2"/>
  <c r="N216" i="2"/>
  <c r="N215" i="2"/>
  <c r="N214" i="2"/>
  <c r="N213" i="2"/>
  <c r="N212" i="2"/>
  <c r="N211" i="2"/>
  <c r="N210" i="2"/>
  <c r="N209" i="2"/>
  <c r="N208" i="2"/>
  <c r="N207" i="2"/>
  <c r="N206" i="2"/>
  <c r="N205" i="2"/>
  <c r="N204" i="2"/>
  <c r="N203" i="2"/>
  <c r="N202" i="2"/>
  <c r="N201" i="2"/>
  <c r="N200" i="2"/>
  <c r="N199" i="2"/>
  <c r="N198" i="2"/>
  <c r="N197" i="2"/>
  <c r="N196" i="2"/>
  <c r="N195" i="2"/>
  <c r="N194" i="2"/>
  <c r="N193" i="2"/>
  <c r="N192" i="2"/>
  <c r="N191" i="2"/>
  <c r="N190" i="2"/>
  <c r="N189" i="2"/>
  <c r="N188" i="2"/>
  <c r="N187" i="2"/>
  <c r="N186" i="2"/>
  <c r="N185" i="2"/>
  <c r="N184" i="2"/>
  <c r="N183" i="2"/>
  <c r="N182" i="2"/>
  <c r="N181" i="2"/>
  <c r="N180" i="2"/>
  <c r="N179" i="2"/>
  <c r="N178" i="2"/>
  <c r="N177" i="2"/>
  <c r="N176" i="2"/>
  <c r="N175" i="2"/>
  <c r="N174" i="2"/>
  <c r="N173" i="2"/>
  <c r="N172" i="2"/>
  <c r="N171" i="2"/>
  <c r="N170" i="2"/>
  <c r="N169" i="2"/>
  <c r="N168" i="2"/>
  <c r="N167" i="2"/>
  <c r="N166" i="2"/>
  <c r="N165" i="2"/>
  <c r="N164" i="2"/>
  <c r="N163" i="2"/>
  <c r="N162" i="2"/>
  <c r="N161" i="2"/>
  <c r="N160" i="2"/>
  <c r="N159" i="2"/>
  <c r="N158" i="2"/>
  <c r="N157" i="2"/>
  <c r="N156" i="2"/>
  <c r="N155" i="2"/>
  <c r="N154" i="2"/>
  <c r="N153" i="2"/>
  <c r="N152" i="2"/>
  <c r="N151" i="2"/>
  <c r="N150" i="2"/>
  <c r="N149" i="2"/>
  <c r="N148" i="2"/>
  <c r="N147" i="2"/>
  <c r="N146" i="2"/>
  <c r="N145" i="2"/>
  <c r="N144" i="2"/>
  <c r="N143" i="2"/>
  <c r="N142" i="2"/>
  <c r="N141" i="2"/>
  <c r="N140" i="2"/>
  <c r="N139" i="2"/>
  <c r="N138" i="2"/>
  <c r="N137" i="2"/>
  <c r="N136" i="2"/>
  <c r="N135" i="2"/>
  <c r="N134" i="2"/>
  <c r="N133" i="2"/>
  <c r="N132" i="2"/>
  <c r="N131" i="2"/>
  <c r="N130" i="2"/>
  <c r="N129" i="2"/>
  <c r="N128" i="2"/>
  <c r="N127" i="2"/>
  <c r="N126" i="2"/>
  <c r="N125" i="2"/>
  <c r="N124" i="2"/>
  <c r="N123" i="2"/>
  <c r="N122" i="2"/>
  <c r="N121" i="2"/>
  <c r="N120" i="2"/>
  <c r="N119" i="2"/>
  <c r="N118" i="2"/>
  <c r="N117" i="2"/>
  <c r="N116" i="2"/>
  <c r="N115" i="2"/>
  <c r="N114" i="2"/>
  <c r="N113" i="2"/>
  <c r="N112" i="2"/>
  <c r="N111" i="2"/>
  <c r="N110" i="2"/>
  <c r="N109" i="2"/>
  <c r="N108" i="2"/>
  <c r="N107" i="2"/>
  <c r="N106" i="2"/>
  <c r="N105" i="2"/>
  <c r="N104" i="2"/>
  <c r="N103" i="2"/>
  <c r="N102" i="2"/>
  <c r="N101" i="2"/>
  <c r="N100" i="2"/>
  <c r="N99" i="2"/>
  <c r="N98" i="2"/>
  <c r="N97" i="2"/>
  <c r="N96" i="2"/>
  <c r="N95" i="2"/>
  <c r="N94" i="2"/>
  <c r="N93" i="2"/>
  <c r="N92" i="2"/>
  <c r="N91" i="2"/>
  <c r="N90" i="2"/>
  <c r="N89" i="2"/>
  <c r="N88" i="2"/>
  <c r="N87" i="2"/>
  <c r="N86" i="2"/>
  <c r="N85" i="2"/>
  <c r="N84" i="2"/>
  <c r="N83" i="2"/>
  <c r="N82" i="2"/>
  <c r="N81" i="2"/>
  <c r="N80" i="2"/>
  <c r="N79" i="2"/>
  <c r="N78" i="2"/>
  <c r="N77" i="2"/>
  <c r="N76" i="2"/>
  <c r="N75" i="2"/>
  <c r="N74" i="2"/>
  <c r="N73" i="2"/>
  <c r="N72" i="2"/>
  <c r="N71" i="2"/>
  <c r="N70" i="2"/>
  <c r="N69" i="2"/>
  <c r="N68" i="2"/>
  <c r="N67" i="2"/>
  <c r="N66" i="2"/>
  <c r="N65" i="2"/>
  <c r="N64" i="2"/>
  <c r="N63" i="2"/>
  <c r="N62" i="2"/>
  <c r="N61" i="2"/>
  <c r="N60" i="2"/>
  <c r="N59" i="2"/>
  <c r="N58" i="2"/>
  <c r="N57" i="2"/>
  <c r="N56" i="2"/>
  <c r="N55" i="2"/>
  <c r="N54" i="2"/>
  <c r="N53" i="2"/>
  <c r="N52" i="2"/>
  <c r="N51" i="2"/>
  <c r="N50" i="2"/>
  <c r="N49" i="2"/>
  <c r="N48" i="2"/>
  <c r="N47" i="2"/>
  <c r="N46" i="2"/>
  <c r="N45" i="2"/>
  <c r="N44" i="2"/>
  <c r="N43" i="2"/>
  <c r="N42" i="2"/>
  <c r="N41" i="2"/>
  <c r="N40" i="2"/>
  <c r="N39" i="2"/>
  <c r="N38" i="2"/>
  <c r="N37" i="2"/>
  <c r="N36" i="2"/>
  <c r="N35" i="2"/>
  <c r="N34" i="2"/>
  <c r="N3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S91" i="1"/>
  <c r="S90" i="1"/>
  <c r="S3" i="1"/>
  <c r="N76" i="1" s="1"/>
  <c r="L76" i="2" s="1"/>
  <c r="S2" i="1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N202" i="1" l="1"/>
  <c r="L202" i="2" s="1"/>
  <c r="N53" i="1"/>
  <c r="L53" i="2" s="1"/>
  <c r="N7" i="1"/>
  <c r="L7" i="2" s="1"/>
  <c r="N37" i="1"/>
  <c r="L37" i="2" s="1"/>
  <c r="N63" i="1"/>
  <c r="L63" i="2" s="1"/>
  <c r="N231" i="1"/>
  <c r="L231" i="2" s="1"/>
  <c r="N223" i="1"/>
  <c r="L223" i="2" s="1"/>
  <c r="N215" i="1"/>
  <c r="L215" i="2" s="1"/>
  <c r="N207" i="1"/>
  <c r="L207" i="2" s="1"/>
  <c r="N199" i="1"/>
  <c r="L199" i="2" s="1"/>
  <c r="N191" i="1"/>
  <c r="L191" i="2" s="1"/>
  <c r="N183" i="1"/>
  <c r="L183" i="2" s="1"/>
  <c r="N175" i="1"/>
  <c r="L175" i="2" s="1"/>
  <c r="N167" i="1"/>
  <c r="L167" i="2" s="1"/>
  <c r="N159" i="1"/>
  <c r="L159" i="2" s="1"/>
  <c r="N151" i="1"/>
  <c r="L151" i="2" s="1"/>
  <c r="N143" i="1"/>
  <c r="L143" i="2" s="1"/>
  <c r="N135" i="1"/>
  <c r="L135" i="2" s="1"/>
  <c r="N127" i="1"/>
  <c r="L127" i="2" s="1"/>
  <c r="N119" i="1"/>
  <c r="L119" i="2" s="1"/>
  <c r="N111" i="1"/>
  <c r="L111" i="2" s="1"/>
  <c r="N103" i="1"/>
  <c r="L103" i="2" s="1"/>
  <c r="N95" i="1"/>
  <c r="L95" i="2" s="1"/>
  <c r="N230" i="1"/>
  <c r="L230" i="2" s="1"/>
  <c r="N222" i="1"/>
  <c r="L222" i="2" s="1"/>
  <c r="N214" i="1"/>
  <c r="L214" i="2" s="1"/>
  <c r="N206" i="1"/>
  <c r="L206" i="2" s="1"/>
  <c r="N198" i="1"/>
  <c r="L198" i="2" s="1"/>
  <c r="N190" i="1"/>
  <c r="L190" i="2" s="1"/>
  <c r="N182" i="1"/>
  <c r="L182" i="2" s="1"/>
  <c r="N174" i="1"/>
  <c r="L174" i="2" s="1"/>
  <c r="N166" i="1"/>
  <c r="L166" i="2" s="1"/>
  <c r="N158" i="1"/>
  <c r="L158" i="2" s="1"/>
  <c r="N150" i="1"/>
  <c r="L150" i="2" s="1"/>
  <c r="N142" i="1"/>
  <c r="L142" i="2" s="1"/>
  <c r="N134" i="1"/>
  <c r="L134" i="2" s="1"/>
  <c r="N126" i="1"/>
  <c r="L126" i="2" s="1"/>
  <c r="N118" i="1"/>
  <c r="L118" i="2" s="1"/>
  <c r="N110" i="1"/>
  <c r="L110" i="2" s="1"/>
  <c r="N102" i="1"/>
  <c r="L102" i="2" s="1"/>
  <c r="N94" i="1"/>
  <c r="L94" i="2" s="1"/>
  <c r="N228" i="1"/>
  <c r="L228" i="2" s="1"/>
  <c r="N220" i="1"/>
  <c r="L220" i="2" s="1"/>
  <c r="N212" i="1"/>
  <c r="L212" i="2" s="1"/>
  <c r="N204" i="1"/>
  <c r="L204" i="2" s="1"/>
  <c r="N196" i="1"/>
  <c r="L196" i="2" s="1"/>
  <c r="N188" i="1"/>
  <c r="L188" i="2" s="1"/>
  <c r="N180" i="1"/>
  <c r="L180" i="2" s="1"/>
  <c r="N172" i="1"/>
  <c r="L172" i="2" s="1"/>
  <c r="N164" i="1"/>
  <c r="L164" i="2" s="1"/>
  <c r="N156" i="1"/>
  <c r="L156" i="2" s="1"/>
  <c r="N148" i="1"/>
  <c r="L148" i="2" s="1"/>
  <c r="N140" i="1"/>
  <c r="L140" i="2" s="1"/>
  <c r="N132" i="1"/>
  <c r="L132" i="2" s="1"/>
  <c r="N124" i="1"/>
  <c r="L124" i="2" s="1"/>
  <c r="N116" i="1"/>
  <c r="L116" i="2" s="1"/>
  <c r="N108" i="1"/>
  <c r="L108" i="2" s="1"/>
  <c r="N100" i="1"/>
  <c r="L100" i="2" s="1"/>
  <c r="N92" i="1"/>
  <c r="L92" i="2" s="1"/>
  <c r="N99" i="1"/>
  <c r="L99" i="2" s="1"/>
  <c r="N125" i="1"/>
  <c r="L125" i="2" s="1"/>
  <c r="N138" i="1"/>
  <c r="L138" i="2" s="1"/>
  <c r="N163" i="1"/>
  <c r="L163" i="2" s="1"/>
  <c r="N177" i="1"/>
  <c r="L177" i="2" s="1"/>
  <c r="N189" i="1"/>
  <c r="L189" i="2" s="1"/>
  <c r="N227" i="1"/>
  <c r="L227" i="2" s="1"/>
  <c r="N8" i="1"/>
  <c r="L8" i="2" s="1"/>
  <c r="N27" i="1"/>
  <c r="L27" i="2" s="1"/>
  <c r="N39" i="1"/>
  <c r="L39" i="2" s="1"/>
  <c r="N66" i="1"/>
  <c r="L66" i="2" s="1"/>
  <c r="N77" i="1"/>
  <c r="L77" i="2" s="1"/>
  <c r="N101" i="1"/>
  <c r="L101" i="2" s="1"/>
  <c r="N139" i="1"/>
  <c r="L139" i="2" s="1"/>
  <c r="N165" i="1"/>
  <c r="L165" i="2" s="1"/>
  <c r="N192" i="1"/>
  <c r="L192" i="2" s="1"/>
  <c r="N229" i="1"/>
  <c r="L229" i="2" s="1"/>
  <c r="N17" i="1"/>
  <c r="L17" i="2" s="1"/>
  <c r="N115" i="1"/>
  <c r="L115" i="2" s="1"/>
  <c r="N205" i="1"/>
  <c r="L205" i="2" s="1"/>
  <c r="N15" i="1"/>
  <c r="L15" i="2" s="1"/>
  <c r="N26" i="1"/>
  <c r="L26" i="2" s="1"/>
  <c r="N51" i="1"/>
  <c r="L51" i="2" s="1"/>
  <c r="N113" i="1"/>
  <c r="L113" i="2" s="1"/>
  <c r="N152" i="1"/>
  <c r="L152" i="2" s="1"/>
  <c r="N216" i="1"/>
  <c r="L216" i="2" s="1"/>
  <c r="N89" i="1"/>
  <c r="L89" i="2" s="1"/>
  <c r="N81" i="1"/>
  <c r="L81" i="2" s="1"/>
  <c r="N73" i="1"/>
  <c r="L73" i="2" s="1"/>
  <c r="N65" i="1"/>
  <c r="L65" i="2" s="1"/>
  <c r="N57" i="1"/>
  <c r="L57" i="2" s="1"/>
  <c r="N49" i="1"/>
  <c r="L49" i="2" s="1"/>
  <c r="N41" i="1"/>
  <c r="L41" i="2" s="1"/>
  <c r="N33" i="1"/>
  <c r="L33" i="2" s="1"/>
  <c r="N25" i="1"/>
  <c r="L25" i="2" s="1"/>
  <c r="N88" i="1"/>
  <c r="L88" i="2" s="1"/>
  <c r="N80" i="1"/>
  <c r="L80" i="2" s="1"/>
  <c r="N72" i="1"/>
  <c r="L72" i="2" s="1"/>
  <c r="N64" i="1"/>
  <c r="L64" i="2" s="1"/>
  <c r="N56" i="1"/>
  <c r="L56" i="2" s="1"/>
  <c r="N48" i="1"/>
  <c r="L48" i="2" s="1"/>
  <c r="N40" i="1"/>
  <c r="L40" i="2" s="1"/>
  <c r="N32" i="1"/>
  <c r="L32" i="2" s="1"/>
  <c r="N24" i="1"/>
  <c r="L24" i="2" s="1"/>
  <c r="N86" i="1"/>
  <c r="L86" i="2" s="1"/>
  <c r="N78" i="1"/>
  <c r="L78" i="2" s="1"/>
  <c r="N70" i="1"/>
  <c r="L70" i="2" s="1"/>
  <c r="N62" i="1"/>
  <c r="L62" i="2" s="1"/>
  <c r="N54" i="1"/>
  <c r="L54" i="2" s="1"/>
  <c r="N46" i="1"/>
  <c r="L46" i="2" s="1"/>
  <c r="N38" i="1"/>
  <c r="L38" i="2" s="1"/>
  <c r="N30" i="1"/>
  <c r="L30" i="2" s="1"/>
  <c r="N22" i="1"/>
  <c r="L22" i="2" s="1"/>
  <c r="N16" i="1"/>
  <c r="L16" i="2" s="1"/>
  <c r="N52" i="1"/>
  <c r="L52" i="2" s="1"/>
  <c r="N114" i="1"/>
  <c r="L114" i="2" s="1"/>
  <c r="N203" i="1"/>
  <c r="L203" i="2" s="1"/>
  <c r="N9" i="1"/>
  <c r="L9" i="2" s="1"/>
  <c r="N90" i="1"/>
  <c r="L90" i="2" s="1"/>
  <c r="N154" i="1"/>
  <c r="L154" i="2" s="1"/>
  <c r="N218" i="1"/>
  <c r="L218" i="2" s="1"/>
  <c r="N10" i="1"/>
  <c r="L10" i="2" s="1"/>
  <c r="N29" i="1"/>
  <c r="L29" i="2" s="1"/>
  <c r="N55" i="1"/>
  <c r="L55" i="2" s="1"/>
  <c r="N82" i="1"/>
  <c r="L82" i="2" s="1"/>
  <c r="N105" i="1"/>
  <c r="L105" i="2" s="1"/>
  <c r="N144" i="1"/>
  <c r="L144" i="2" s="1"/>
  <c r="N181" i="1"/>
  <c r="L181" i="2" s="1"/>
  <c r="N219" i="1"/>
  <c r="L219" i="2" s="1"/>
  <c r="N3" i="1"/>
  <c r="L3" i="2" s="1"/>
  <c r="N11" i="1"/>
  <c r="L11" i="2" s="1"/>
  <c r="N19" i="1"/>
  <c r="L19" i="2" s="1"/>
  <c r="N31" i="1"/>
  <c r="L31" i="2" s="1"/>
  <c r="N44" i="1"/>
  <c r="L44" i="2" s="1"/>
  <c r="N58" i="1"/>
  <c r="L58" i="2" s="1"/>
  <c r="N69" i="1"/>
  <c r="L69" i="2" s="1"/>
  <c r="N83" i="1"/>
  <c r="L83" i="2" s="1"/>
  <c r="N93" i="1"/>
  <c r="L93" i="2" s="1"/>
  <c r="N106" i="1"/>
  <c r="L106" i="2" s="1"/>
  <c r="N120" i="1"/>
  <c r="L120" i="2" s="1"/>
  <c r="N131" i="1"/>
  <c r="L131" i="2" s="1"/>
  <c r="N145" i="1"/>
  <c r="L145" i="2" s="1"/>
  <c r="N157" i="1"/>
  <c r="L157" i="2" s="1"/>
  <c r="N170" i="1"/>
  <c r="L170" i="2" s="1"/>
  <c r="N184" i="1"/>
  <c r="L184" i="2" s="1"/>
  <c r="N195" i="1"/>
  <c r="L195" i="2" s="1"/>
  <c r="N209" i="1"/>
  <c r="L209" i="2" s="1"/>
  <c r="N221" i="1"/>
  <c r="L221" i="2" s="1"/>
  <c r="N28" i="1"/>
  <c r="L28" i="2" s="1"/>
  <c r="N42" i="1"/>
  <c r="L42" i="2" s="1"/>
  <c r="N67" i="1"/>
  <c r="L67" i="2" s="1"/>
  <c r="N104" i="1"/>
  <c r="L104" i="2" s="1"/>
  <c r="N129" i="1"/>
  <c r="L129" i="2" s="1"/>
  <c r="N141" i="1"/>
  <c r="L141" i="2" s="1"/>
  <c r="N168" i="1"/>
  <c r="L168" i="2" s="1"/>
  <c r="N179" i="1"/>
  <c r="L179" i="2" s="1"/>
  <c r="N193" i="1"/>
  <c r="L193" i="2" s="1"/>
  <c r="N232" i="1"/>
  <c r="L232" i="2" s="1"/>
  <c r="N2" i="1"/>
  <c r="L2" i="2" s="1"/>
  <c r="N18" i="1"/>
  <c r="L18" i="2" s="1"/>
  <c r="N43" i="1"/>
  <c r="L43" i="2" s="1"/>
  <c r="N68" i="1"/>
  <c r="L68" i="2" s="1"/>
  <c r="N91" i="1"/>
  <c r="L91" i="2" s="1"/>
  <c r="N117" i="1"/>
  <c r="L117" i="2" s="1"/>
  <c r="N130" i="1"/>
  <c r="L130" i="2" s="1"/>
  <c r="N155" i="1"/>
  <c r="L155" i="2" s="1"/>
  <c r="N169" i="1"/>
  <c r="L169" i="2" s="1"/>
  <c r="N194" i="1"/>
  <c r="L194" i="2" s="1"/>
  <c r="N208" i="1"/>
  <c r="L208" i="2" s="1"/>
  <c r="N233" i="1"/>
  <c r="L233" i="2" s="1"/>
  <c r="N12" i="1"/>
  <c r="L12" i="2" s="1"/>
  <c r="N34" i="1"/>
  <c r="L34" i="2" s="1"/>
  <c r="N59" i="1"/>
  <c r="L59" i="2" s="1"/>
  <c r="N71" i="1"/>
  <c r="L71" i="2" s="1"/>
  <c r="N96" i="1"/>
  <c r="L96" i="2" s="1"/>
  <c r="N121" i="1"/>
  <c r="L121" i="2" s="1"/>
  <c r="N146" i="1"/>
  <c r="L146" i="2" s="1"/>
  <c r="N171" i="1"/>
  <c r="L171" i="2" s="1"/>
  <c r="N224" i="1"/>
  <c r="L224" i="2" s="1"/>
  <c r="N128" i="1"/>
  <c r="L128" i="2" s="1"/>
  <c r="N153" i="1"/>
  <c r="L153" i="2" s="1"/>
  <c r="N178" i="1"/>
  <c r="L178" i="2" s="1"/>
  <c r="N217" i="1"/>
  <c r="L217" i="2" s="1"/>
  <c r="N79" i="1"/>
  <c r="L79" i="2" s="1"/>
  <c r="N5" i="1"/>
  <c r="L5" i="2" s="1"/>
  <c r="N13" i="1"/>
  <c r="L13" i="2" s="1"/>
  <c r="N21" i="1"/>
  <c r="L21" i="2" s="1"/>
  <c r="N47" i="1"/>
  <c r="L47" i="2" s="1"/>
  <c r="N60" i="1"/>
  <c r="L60" i="2" s="1"/>
  <c r="N74" i="1"/>
  <c r="L74" i="2" s="1"/>
  <c r="N85" i="1"/>
  <c r="L85" i="2" s="1"/>
  <c r="N97" i="1"/>
  <c r="L97" i="2" s="1"/>
  <c r="N109" i="1"/>
  <c r="L109" i="2" s="1"/>
  <c r="N122" i="1"/>
  <c r="L122" i="2" s="1"/>
  <c r="N136" i="1"/>
  <c r="L136" i="2" s="1"/>
  <c r="N147" i="1"/>
  <c r="L147" i="2" s="1"/>
  <c r="N161" i="1"/>
  <c r="L161" i="2" s="1"/>
  <c r="N173" i="1"/>
  <c r="L173" i="2" s="1"/>
  <c r="N186" i="1"/>
  <c r="L186" i="2" s="1"/>
  <c r="N200" i="1"/>
  <c r="L200" i="2" s="1"/>
  <c r="N211" i="1"/>
  <c r="L211" i="2" s="1"/>
  <c r="N225" i="1"/>
  <c r="L225" i="2" s="1"/>
  <c r="N4" i="1"/>
  <c r="L4" i="2" s="1"/>
  <c r="N20" i="1"/>
  <c r="L20" i="2" s="1"/>
  <c r="N45" i="1"/>
  <c r="L45" i="2" s="1"/>
  <c r="N84" i="1"/>
  <c r="L84" i="2" s="1"/>
  <c r="N107" i="1"/>
  <c r="L107" i="2" s="1"/>
  <c r="N133" i="1"/>
  <c r="L133" i="2" s="1"/>
  <c r="N160" i="1"/>
  <c r="L160" i="2" s="1"/>
  <c r="N185" i="1"/>
  <c r="L185" i="2" s="1"/>
  <c r="N197" i="1"/>
  <c r="L197" i="2" s="1"/>
  <c r="N210" i="1"/>
  <c r="L210" i="2" s="1"/>
  <c r="N35" i="1"/>
  <c r="L35" i="2" s="1"/>
  <c r="N6" i="1"/>
  <c r="L6" i="2" s="1"/>
  <c r="N14" i="1"/>
  <c r="L14" i="2" s="1"/>
  <c r="N23" i="1"/>
  <c r="L23" i="2" s="1"/>
  <c r="N36" i="1"/>
  <c r="L36" i="2" s="1"/>
  <c r="N50" i="1"/>
  <c r="L50" i="2" s="1"/>
  <c r="N61" i="1"/>
  <c r="L61" i="2" s="1"/>
  <c r="N75" i="1"/>
  <c r="L75" i="2" s="1"/>
  <c r="N87" i="1"/>
  <c r="L87" i="2" s="1"/>
  <c r="N98" i="1"/>
  <c r="L98" i="2" s="1"/>
  <c r="N112" i="1"/>
  <c r="L112" i="2" s="1"/>
  <c r="N123" i="1"/>
  <c r="L123" i="2" s="1"/>
  <c r="N137" i="1"/>
  <c r="L137" i="2" s="1"/>
  <c r="N149" i="1"/>
  <c r="L149" i="2" s="1"/>
  <c r="N162" i="1"/>
  <c r="L162" i="2" s="1"/>
  <c r="N176" i="1"/>
  <c r="L176" i="2" s="1"/>
  <c r="N187" i="1"/>
  <c r="L187" i="2" s="1"/>
  <c r="N201" i="1"/>
  <c r="L201" i="2" s="1"/>
  <c r="N213" i="1"/>
  <c r="L213" i="2" s="1"/>
  <c r="N226" i="1"/>
  <c r="L226" i="2" s="1"/>
  <c r="J233" i="2"/>
  <c r="J232" i="2"/>
  <c r="J231" i="2"/>
  <c r="J230" i="2"/>
  <c r="J229" i="2"/>
  <c r="J228" i="2"/>
  <c r="J227" i="2"/>
  <c r="J226" i="2"/>
  <c r="J225" i="2"/>
  <c r="J224" i="2"/>
  <c r="J223" i="2"/>
  <c r="J222" i="2"/>
  <c r="J221" i="2"/>
  <c r="J220" i="2"/>
  <c r="J219" i="2"/>
  <c r="J218" i="2"/>
  <c r="J217" i="2"/>
  <c r="J216" i="2"/>
  <c r="J215" i="2"/>
  <c r="J214" i="2"/>
  <c r="J213" i="2"/>
  <c r="J212" i="2"/>
  <c r="J211" i="2"/>
  <c r="J210" i="2"/>
  <c r="J209" i="2"/>
  <c r="J208" i="2"/>
  <c r="J207" i="2"/>
  <c r="J206" i="2"/>
  <c r="J205" i="2"/>
  <c r="J204" i="2"/>
  <c r="J203" i="2"/>
  <c r="J202" i="2"/>
  <c r="J201" i="2"/>
  <c r="J200" i="2"/>
  <c r="J199" i="2"/>
  <c r="J198" i="2"/>
  <c r="J197" i="2"/>
  <c r="J196" i="2"/>
  <c r="J195" i="2"/>
  <c r="J194" i="2"/>
  <c r="J193" i="2"/>
  <c r="J192" i="2"/>
  <c r="J191" i="2"/>
  <c r="J190" i="2"/>
  <c r="J189" i="2"/>
  <c r="J188" i="2"/>
  <c r="J187" i="2"/>
  <c r="J186" i="2"/>
  <c r="J185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65" i="2"/>
  <c r="J164" i="2"/>
  <c r="J163" i="2"/>
  <c r="J162" i="2"/>
  <c r="J161" i="2"/>
  <c r="J160" i="2"/>
  <c r="J159" i="2"/>
  <c r="J158" i="2"/>
  <c r="J157" i="2"/>
  <c r="J156" i="2"/>
  <c r="J155" i="2"/>
  <c r="J154" i="2"/>
  <c r="J153" i="2"/>
  <c r="J152" i="2"/>
  <c r="J151" i="2"/>
  <c r="J150" i="2"/>
  <c r="J149" i="2"/>
  <c r="J148" i="2"/>
  <c r="J147" i="2"/>
  <c r="J146" i="2"/>
  <c r="J145" i="2"/>
  <c r="J144" i="2"/>
  <c r="J143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A2" i="2"/>
  <c r="E2" i="2" s="1"/>
  <c r="A3" i="2"/>
  <c r="E3" i="2" s="1"/>
  <c r="A4" i="2"/>
  <c r="E4" i="2" s="1"/>
  <c r="A5" i="2"/>
  <c r="E5" i="2" s="1"/>
  <c r="A6" i="2"/>
  <c r="E6" i="2" s="1"/>
  <c r="A7" i="2"/>
  <c r="E7" i="2" s="1"/>
  <c r="A8" i="2"/>
  <c r="E8" i="2" s="1"/>
  <c r="A9" i="2"/>
  <c r="E9" i="2" s="1"/>
  <c r="A10" i="2"/>
  <c r="E10" i="2" s="1"/>
  <c r="A11" i="2"/>
  <c r="E11" i="2" s="1"/>
  <c r="A12" i="2"/>
  <c r="E12" i="2" s="1"/>
  <c r="A13" i="2"/>
  <c r="E13" i="2" s="1"/>
  <c r="A14" i="2"/>
  <c r="E14" i="2" s="1"/>
  <c r="A15" i="2"/>
  <c r="E15" i="2" s="1"/>
  <c r="A16" i="2"/>
  <c r="E16" i="2" s="1"/>
  <c r="A17" i="2"/>
  <c r="E17" i="2" s="1"/>
  <c r="A18" i="2"/>
  <c r="E18" i="2" s="1"/>
  <c r="A19" i="2"/>
  <c r="E19" i="2" s="1"/>
  <c r="A20" i="2"/>
  <c r="E20" i="2" s="1"/>
  <c r="A21" i="2"/>
  <c r="E21" i="2" s="1"/>
  <c r="A22" i="2"/>
  <c r="E22" i="2" s="1"/>
  <c r="A23" i="2"/>
  <c r="E23" i="2" s="1"/>
  <c r="A24" i="2"/>
  <c r="E24" i="2" s="1"/>
  <c r="A25" i="2"/>
  <c r="E25" i="2" s="1"/>
  <c r="A26" i="2"/>
  <c r="E26" i="2" s="1"/>
  <c r="A27" i="2"/>
  <c r="E27" i="2" s="1"/>
  <c r="A28" i="2"/>
  <c r="E28" i="2" s="1"/>
  <c r="A29" i="2"/>
  <c r="E29" i="2" s="1"/>
  <c r="A30" i="2"/>
  <c r="E30" i="2" s="1"/>
  <c r="A31" i="2"/>
  <c r="E31" i="2" s="1"/>
  <c r="A32" i="2"/>
  <c r="E32" i="2" s="1"/>
  <c r="A33" i="2"/>
  <c r="E33" i="2" s="1"/>
  <c r="A34" i="2"/>
  <c r="E34" i="2" s="1"/>
  <c r="A35" i="2"/>
  <c r="E35" i="2" s="1"/>
  <c r="A36" i="2"/>
  <c r="E36" i="2" s="1"/>
  <c r="A37" i="2"/>
  <c r="E37" i="2" s="1"/>
  <c r="A38" i="2"/>
  <c r="E38" i="2" s="1"/>
  <c r="A39" i="2"/>
  <c r="E39" i="2" s="1"/>
  <c r="A40" i="2"/>
  <c r="E40" i="2" s="1"/>
  <c r="A41" i="2"/>
  <c r="E41" i="2" s="1"/>
  <c r="A42" i="2"/>
  <c r="E42" i="2" s="1"/>
  <c r="A43" i="2"/>
  <c r="E43" i="2" s="1"/>
  <c r="A44" i="2"/>
  <c r="E44" i="2" s="1"/>
  <c r="A45" i="2"/>
  <c r="E45" i="2" s="1"/>
  <c r="A46" i="2"/>
  <c r="E46" i="2" s="1"/>
  <c r="A47" i="2"/>
  <c r="E47" i="2" s="1"/>
  <c r="A48" i="2"/>
  <c r="E48" i="2" s="1"/>
  <c r="A49" i="2"/>
  <c r="E49" i="2" s="1"/>
  <c r="A50" i="2"/>
  <c r="E50" i="2" s="1"/>
  <c r="A51" i="2"/>
  <c r="E51" i="2" s="1"/>
  <c r="A52" i="2"/>
  <c r="E52" i="2" s="1"/>
  <c r="A53" i="2"/>
  <c r="E53" i="2" s="1"/>
  <c r="A54" i="2"/>
  <c r="E54" i="2" s="1"/>
  <c r="A55" i="2"/>
  <c r="E55" i="2" s="1"/>
  <c r="A56" i="2"/>
  <c r="E56" i="2" s="1"/>
  <c r="A57" i="2"/>
  <c r="E57" i="2" s="1"/>
  <c r="A58" i="2"/>
  <c r="E58" i="2" s="1"/>
  <c r="A59" i="2"/>
  <c r="E59" i="2" s="1"/>
  <c r="A60" i="2"/>
  <c r="E60" i="2" s="1"/>
  <c r="A61" i="2"/>
  <c r="E61" i="2" s="1"/>
  <c r="A62" i="2"/>
  <c r="E62" i="2" s="1"/>
  <c r="A63" i="2"/>
  <c r="E63" i="2" s="1"/>
  <c r="A64" i="2"/>
  <c r="E64" i="2" s="1"/>
  <c r="A65" i="2"/>
  <c r="E65" i="2" s="1"/>
  <c r="A66" i="2"/>
  <c r="E66" i="2" s="1"/>
  <c r="A67" i="2"/>
  <c r="E67" i="2" s="1"/>
  <c r="A68" i="2"/>
  <c r="E68" i="2" s="1"/>
  <c r="A69" i="2"/>
  <c r="E69" i="2" s="1"/>
  <c r="A70" i="2"/>
  <c r="E70" i="2" s="1"/>
  <c r="A71" i="2"/>
  <c r="E71" i="2" s="1"/>
  <c r="A72" i="2"/>
  <c r="E72" i="2" s="1"/>
  <c r="A73" i="2"/>
  <c r="E73" i="2" s="1"/>
  <c r="A74" i="2"/>
  <c r="E74" i="2" s="1"/>
  <c r="A75" i="2"/>
  <c r="E75" i="2" s="1"/>
  <c r="A76" i="2"/>
  <c r="E76" i="2" s="1"/>
  <c r="A77" i="2"/>
  <c r="E77" i="2" s="1"/>
  <c r="A78" i="2"/>
  <c r="E78" i="2" s="1"/>
  <c r="A79" i="2"/>
  <c r="E79" i="2" s="1"/>
  <c r="A80" i="2"/>
  <c r="E80" i="2" s="1"/>
  <c r="A81" i="2"/>
  <c r="E81" i="2" s="1"/>
  <c r="A82" i="2"/>
  <c r="E82" i="2" s="1"/>
  <c r="A83" i="2"/>
  <c r="E83" i="2" s="1"/>
  <c r="A84" i="2"/>
  <c r="E84" i="2" s="1"/>
  <c r="A85" i="2"/>
  <c r="E85" i="2" s="1"/>
  <c r="A86" i="2"/>
  <c r="E86" i="2" s="1"/>
  <c r="A87" i="2"/>
  <c r="E87" i="2" s="1"/>
  <c r="A88" i="2"/>
  <c r="E88" i="2" s="1"/>
  <c r="A89" i="2"/>
  <c r="E89" i="2" s="1"/>
  <c r="A90" i="2"/>
  <c r="E90" i="2" s="1"/>
  <c r="A91" i="2"/>
  <c r="E91" i="2" s="1"/>
  <c r="A92" i="2"/>
  <c r="E92" i="2" s="1"/>
  <c r="A93" i="2"/>
  <c r="E93" i="2" s="1"/>
  <c r="A94" i="2"/>
  <c r="E94" i="2" s="1"/>
  <c r="A95" i="2"/>
  <c r="E95" i="2" s="1"/>
  <c r="A96" i="2"/>
  <c r="E96" i="2" s="1"/>
  <c r="A97" i="2"/>
  <c r="E97" i="2" s="1"/>
  <c r="A98" i="2"/>
  <c r="E98" i="2" s="1"/>
  <c r="A99" i="2"/>
  <c r="E99" i="2" s="1"/>
  <c r="A100" i="2"/>
  <c r="E100" i="2" s="1"/>
  <c r="A101" i="2"/>
  <c r="E101" i="2" s="1"/>
  <c r="A102" i="2"/>
  <c r="E102" i="2" s="1"/>
  <c r="A103" i="2"/>
  <c r="E103" i="2" s="1"/>
  <c r="A104" i="2"/>
  <c r="E104" i="2" s="1"/>
  <c r="A105" i="2"/>
  <c r="E105" i="2" s="1"/>
  <c r="A106" i="2"/>
  <c r="E106" i="2" s="1"/>
  <c r="A107" i="2"/>
  <c r="E107" i="2" s="1"/>
  <c r="A108" i="2"/>
  <c r="E108" i="2" s="1"/>
  <c r="A109" i="2"/>
  <c r="E109" i="2" s="1"/>
  <c r="A110" i="2"/>
  <c r="E110" i="2" s="1"/>
  <c r="A111" i="2"/>
  <c r="E111" i="2" s="1"/>
  <c r="A112" i="2"/>
  <c r="E112" i="2" s="1"/>
  <c r="A113" i="2"/>
  <c r="E113" i="2" s="1"/>
  <c r="A114" i="2"/>
  <c r="E114" i="2" s="1"/>
  <c r="A115" i="2"/>
  <c r="E115" i="2" s="1"/>
  <c r="A116" i="2"/>
  <c r="E116" i="2" s="1"/>
  <c r="A117" i="2"/>
  <c r="E117" i="2" s="1"/>
  <c r="A118" i="2"/>
  <c r="E118" i="2" s="1"/>
  <c r="A119" i="2"/>
  <c r="E119" i="2" s="1"/>
  <c r="A120" i="2"/>
  <c r="E120" i="2" s="1"/>
  <c r="A121" i="2"/>
  <c r="E121" i="2" s="1"/>
  <c r="A122" i="2"/>
  <c r="E122" i="2" s="1"/>
  <c r="A123" i="2"/>
  <c r="E123" i="2" s="1"/>
  <c r="A124" i="2"/>
  <c r="E124" i="2" s="1"/>
  <c r="A125" i="2"/>
  <c r="E125" i="2" s="1"/>
  <c r="A126" i="2"/>
  <c r="E126" i="2" s="1"/>
  <c r="A127" i="2"/>
  <c r="E127" i="2" s="1"/>
  <c r="A128" i="2"/>
  <c r="E128" i="2" s="1"/>
  <c r="A129" i="2"/>
  <c r="E129" i="2" s="1"/>
  <c r="A130" i="2"/>
  <c r="E130" i="2" s="1"/>
  <c r="A131" i="2"/>
  <c r="E131" i="2" s="1"/>
  <c r="A132" i="2"/>
  <c r="E132" i="2" s="1"/>
  <c r="A133" i="2"/>
  <c r="E133" i="2" s="1"/>
  <c r="A134" i="2"/>
  <c r="E134" i="2" s="1"/>
  <c r="A135" i="2"/>
  <c r="E135" i="2" s="1"/>
  <c r="A136" i="2"/>
  <c r="E136" i="2" s="1"/>
  <c r="A137" i="2"/>
  <c r="E137" i="2" s="1"/>
  <c r="A138" i="2"/>
  <c r="E138" i="2" s="1"/>
  <c r="A139" i="2"/>
  <c r="E139" i="2" s="1"/>
  <c r="A140" i="2"/>
  <c r="E140" i="2" s="1"/>
  <c r="A141" i="2"/>
  <c r="E141" i="2" s="1"/>
  <c r="A142" i="2"/>
  <c r="E142" i="2" s="1"/>
  <c r="A143" i="2"/>
  <c r="E143" i="2" s="1"/>
  <c r="A144" i="2"/>
  <c r="E144" i="2" s="1"/>
  <c r="A145" i="2"/>
  <c r="E145" i="2" s="1"/>
  <c r="A146" i="2"/>
  <c r="E146" i="2" s="1"/>
  <c r="A147" i="2"/>
  <c r="E147" i="2" s="1"/>
  <c r="A148" i="2"/>
  <c r="E148" i="2" s="1"/>
  <c r="A149" i="2"/>
  <c r="E149" i="2" s="1"/>
  <c r="A150" i="2"/>
  <c r="E150" i="2" s="1"/>
  <c r="A151" i="2"/>
  <c r="E151" i="2" s="1"/>
  <c r="A152" i="2"/>
  <c r="E152" i="2" s="1"/>
  <c r="A153" i="2"/>
  <c r="E153" i="2" s="1"/>
  <c r="A154" i="2"/>
  <c r="E154" i="2" s="1"/>
  <c r="A155" i="2"/>
  <c r="E155" i="2" s="1"/>
  <c r="A156" i="2"/>
  <c r="E156" i="2" s="1"/>
  <c r="A157" i="2"/>
  <c r="E157" i="2" s="1"/>
  <c r="A158" i="2"/>
  <c r="E158" i="2" s="1"/>
  <c r="A159" i="2"/>
  <c r="E159" i="2" s="1"/>
  <c r="A160" i="2"/>
  <c r="E160" i="2" s="1"/>
  <c r="A161" i="2"/>
  <c r="E161" i="2" s="1"/>
  <c r="A162" i="2"/>
  <c r="E162" i="2" s="1"/>
  <c r="A163" i="2"/>
  <c r="E163" i="2" s="1"/>
  <c r="A164" i="2"/>
  <c r="E164" i="2" s="1"/>
  <c r="A165" i="2"/>
  <c r="E165" i="2" s="1"/>
  <c r="A166" i="2"/>
  <c r="E166" i="2" s="1"/>
  <c r="A167" i="2"/>
  <c r="E167" i="2" s="1"/>
  <c r="A168" i="2"/>
  <c r="E168" i="2" s="1"/>
  <c r="A169" i="2"/>
  <c r="E169" i="2" s="1"/>
  <c r="A170" i="2"/>
  <c r="E170" i="2" s="1"/>
  <c r="A171" i="2"/>
  <c r="E171" i="2" s="1"/>
  <c r="A172" i="2"/>
  <c r="E172" i="2" s="1"/>
  <c r="A173" i="2"/>
  <c r="E173" i="2" s="1"/>
  <c r="A174" i="2"/>
  <c r="E174" i="2" s="1"/>
  <c r="A175" i="2"/>
  <c r="E175" i="2" s="1"/>
  <c r="A176" i="2"/>
  <c r="E176" i="2" s="1"/>
  <c r="A177" i="2"/>
  <c r="E177" i="2" s="1"/>
  <c r="A178" i="2"/>
  <c r="E178" i="2" s="1"/>
  <c r="A179" i="2"/>
  <c r="E179" i="2" s="1"/>
  <c r="A180" i="2"/>
  <c r="E180" i="2" s="1"/>
  <c r="A181" i="2"/>
  <c r="E181" i="2" s="1"/>
  <c r="A182" i="2"/>
  <c r="E182" i="2" s="1"/>
  <c r="A183" i="2"/>
  <c r="E183" i="2" s="1"/>
  <c r="A184" i="2"/>
  <c r="E184" i="2" s="1"/>
  <c r="A185" i="2"/>
  <c r="E185" i="2" s="1"/>
  <c r="A186" i="2"/>
  <c r="E186" i="2" s="1"/>
  <c r="A187" i="2"/>
  <c r="E187" i="2" s="1"/>
  <c r="A188" i="2"/>
  <c r="E188" i="2" s="1"/>
  <c r="A189" i="2"/>
  <c r="E189" i="2" s="1"/>
  <c r="A190" i="2"/>
  <c r="E190" i="2" s="1"/>
  <c r="A191" i="2"/>
  <c r="E191" i="2" s="1"/>
  <c r="A192" i="2"/>
  <c r="E192" i="2" s="1"/>
  <c r="A193" i="2"/>
  <c r="E193" i="2" s="1"/>
  <c r="A194" i="2"/>
  <c r="E194" i="2" s="1"/>
  <c r="A195" i="2"/>
  <c r="E195" i="2" s="1"/>
  <c r="A196" i="2"/>
  <c r="E196" i="2" s="1"/>
  <c r="A197" i="2"/>
  <c r="E197" i="2" s="1"/>
  <c r="A198" i="2"/>
  <c r="E198" i="2" s="1"/>
  <c r="A199" i="2"/>
  <c r="E199" i="2" s="1"/>
  <c r="A200" i="2"/>
  <c r="E200" i="2" s="1"/>
  <c r="A201" i="2"/>
  <c r="E201" i="2" s="1"/>
  <c r="A202" i="2"/>
  <c r="E202" i="2" s="1"/>
  <c r="A203" i="2"/>
  <c r="E203" i="2" s="1"/>
  <c r="A204" i="2"/>
  <c r="E204" i="2" s="1"/>
  <c r="A205" i="2"/>
  <c r="E205" i="2" s="1"/>
  <c r="A206" i="2"/>
  <c r="E206" i="2" s="1"/>
  <c r="A207" i="2"/>
  <c r="E207" i="2" s="1"/>
  <c r="A208" i="2"/>
  <c r="E208" i="2" s="1"/>
  <c r="A209" i="2"/>
  <c r="E209" i="2" s="1"/>
  <c r="A210" i="2"/>
  <c r="E210" i="2" s="1"/>
  <c r="A211" i="2"/>
  <c r="E211" i="2" s="1"/>
  <c r="A212" i="2"/>
  <c r="E212" i="2" s="1"/>
  <c r="A213" i="2"/>
  <c r="E213" i="2" s="1"/>
  <c r="A214" i="2"/>
  <c r="E214" i="2" s="1"/>
  <c r="A215" i="2"/>
  <c r="E215" i="2" s="1"/>
  <c r="A216" i="2"/>
  <c r="E216" i="2" s="1"/>
  <c r="A217" i="2"/>
  <c r="E217" i="2" s="1"/>
  <c r="A218" i="2"/>
  <c r="E218" i="2" s="1"/>
  <c r="A219" i="2"/>
  <c r="E219" i="2" s="1"/>
  <c r="A220" i="2"/>
  <c r="E220" i="2" s="1"/>
  <c r="A221" i="2"/>
  <c r="E221" i="2" s="1"/>
  <c r="A222" i="2"/>
  <c r="E222" i="2" s="1"/>
  <c r="A223" i="2"/>
  <c r="E223" i="2" s="1"/>
  <c r="A224" i="2"/>
  <c r="E224" i="2" s="1"/>
  <c r="A225" i="2"/>
  <c r="E225" i="2" s="1"/>
  <c r="A226" i="2"/>
  <c r="E226" i="2" s="1"/>
  <c r="A227" i="2"/>
  <c r="E227" i="2" s="1"/>
  <c r="A228" i="2"/>
  <c r="E228" i="2" s="1"/>
  <c r="A229" i="2"/>
  <c r="E229" i="2" s="1"/>
  <c r="A230" i="2"/>
  <c r="E230" i="2" s="1"/>
  <c r="A231" i="2"/>
  <c r="E231" i="2" s="1"/>
  <c r="A232" i="2"/>
  <c r="E232" i="2" s="1"/>
  <c r="A233" i="2"/>
  <c r="E233" i="2" s="1"/>
  <c r="I207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H233" i="1"/>
  <c r="I233" i="2" s="1"/>
  <c r="H232" i="1"/>
  <c r="I232" i="2" s="1"/>
  <c r="H231" i="1"/>
  <c r="I231" i="2" s="1"/>
  <c r="H230" i="1"/>
  <c r="I230" i="2" s="1"/>
  <c r="H229" i="1"/>
  <c r="I229" i="2" s="1"/>
  <c r="H228" i="1"/>
  <c r="I228" i="2" s="1"/>
  <c r="H227" i="1"/>
  <c r="I227" i="2" s="1"/>
  <c r="H226" i="1"/>
  <c r="I226" i="2" s="1"/>
  <c r="H225" i="1"/>
  <c r="I225" i="2" s="1"/>
  <c r="H224" i="1"/>
  <c r="I224" i="2" s="1"/>
  <c r="H223" i="1"/>
  <c r="I223" i="2" s="1"/>
  <c r="H222" i="1"/>
  <c r="I222" i="2" s="1"/>
  <c r="H221" i="1"/>
  <c r="I221" i="2" s="1"/>
  <c r="H220" i="1"/>
  <c r="I220" i="2" s="1"/>
  <c r="H219" i="1"/>
  <c r="I219" i="2" s="1"/>
  <c r="H218" i="1"/>
  <c r="I218" i="2" s="1"/>
  <c r="H217" i="1"/>
  <c r="I217" i="2" s="1"/>
  <c r="H216" i="1"/>
  <c r="I216" i="2" s="1"/>
  <c r="H215" i="1"/>
  <c r="I215" i="2" s="1"/>
  <c r="H214" i="1"/>
  <c r="I214" i="2" s="1"/>
  <c r="H213" i="1"/>
  <c r="I213" i="2" s="1"/>
  <c r="H212" i="1"/>
  <c r="I212" i="2" s="1"/>
  <c r="H211" i="1"/>
  <c r="I211" i="2" s="1"/>
  <c r="H210" i="1"/>
  <c r="I210" i="2" s="1"/>
  <c r="H209" i="1"/>
  <c r="I209" i="2" s="1"/>
  <c r="H208" i="1"/>
  <c r="I208" i="2" s="1"/>
  <c r="H206" i="1"/>
  <c r="I206" i="2" s="1"/>
  <c r="H205" i="1"/>
  <c r="I205" i="2" s="1"/>
  <c r="H204" i="1"/>
  <c r="I204" i="2" s="1"/>
  <c r="H203" i="1"/>
  <c r="I203" i="2" s="1"/>
  <c r="H202" i="1"/>
  <c r="I202" i="2" s="1"/>
  <c r="H201" i="1"/>
  <c r="I201" i="2" s="1"/>
  <c r="H200" i="1"/>
  <c r="I200" i="2" s="1"/>
  <c r="H199" i="1"/>
  <c r="I199" i="2" s="1"/>
  <c r="H198" i="1"/>
  <c r="I198" i="2" s="1"/>
  <c r="H197" i="1"/>
  <c r="I197" i="2" s="1"/>
  <c r="H196" i="1"/>
  <c r="I196" i="2" s="1"/>
  <c r="H195" i="1"/>
  <c r="I195" i="2" s="1"/>
  <c r="H194" i="1"/>
  <c r="I194" i="2" s="1"/>
  <c r="H193" i="1"/>
  <c r="I193" i="2" s="1"/>
  <c r="H192" i="1"/>
  <c r="I192" i="2" s="1"/>
  <c r="H191" i="1"/>
  <c r="I191" i="2" s="1"/>
  <c r="H190" i="1"/>
  <c r="I190" i="2" s="1"/>
  <c r="H189" i="1"/>
  <c r="I189" i="2" s="1"/>
  <c r="H188" i="1"/>
  <c r="I188" i="2" s="1"/>
  <c r="H187" i="1"/>
  <c r="I187" i="2" s="1"/>
  <c r="H186" i="1"/>
  <c r="I186" i="2" s="1"/>
  <c r="H185" i="1"/>
  <c r="I185" i="2" s="1"/>
  <c r="H184" i="1"/>
  <c r="I184" i="2" s="1"/>
  <c r="H183" i="1"/>
  <c r="I183" i="2" s="1"/>
  <c r="H182" i="1"/>
  <c r="I182" i="2" s="1"/>
  <c r="H181" i="1"/>
  <c r="I181" i="2" s="1"/>
  <c r="H180" i="1"/>
  <c r="I180" i="2" s="1"/>
  <c r="H179" i="1"/>
  <c r="I179" i="2" s="1"/>
  <c r="H178" i="1"/>
  <c r="I178" i="2" s="1"/>
  <c r="H177" i="1"/>
  <c r="I177" i="2" s="1"/>
  <c r="H176" i="1"/>
  <c r="I176" i="2" s="1"/>
  <c r="H175" i="1"/>
  <c r="I175" i="2" s="1"/>
  <c r="H174" i="1"/>
  <c r="I174" i="2" s="1"/>
  <c r="H173" i="1"/>
  <c r="I173" i="2" s="1"/>
  <c r="H172" i="1"/>
  <c r="I172" i="2" s="1"/>
  <c r="H171" i="1"/>
  <c r="I171" i="2" s="1"/>
  <c r="H170" i="1"/>
  <c r="I170" i="2" s="1"/>
  <c r="H169" i="1"/>
  <c r="I169" i="2" s="1"/>
  <c r="H168" i="1"/>
  <c r="I168" i="2" s="1"/>
  <c r="H167" i="1"/>
  <c r="I167" i="2" s="1"/>
  <c r="H166" i="1"/>
  <c r="I166" i="2" s="1"/>
  <c r="H165" i="1"/>
  <c r="I165" i="2" s="1"/>
  <c r="H164" i="1"/>
  <c r="I164" i="2" s="1"/>
  <c r="H163" i="1"/>
  <c r="I163" i="2" s="1"/>
  <c r="H162" i="1"/>
  <c r="I162" i="2" s="1"/>
  <c r="H161" i="1"/>
  <c r="I161" i="2" s="1"/>
  <c r="H160" i="1"/>
  <c r="I160" i="2" s="1"/>
  <c r="H159" i="1"/>
  <c r="I159" i="2" s="1"/>
  <c r="H158" i="1"/>
  <c r="I158" i="2" s="1"/>
  <c r="H157" i="1"/>
  <c r="I157" i="2" s="1"/>
  <c r="H156" i="1"/>
  <c r="I156" i="2" s="1"/>
  <c r="H155" i="1"/>
  <c r="I155" i="2" s="1"/>
  <c r="H154" i="1"/>
  <c r="I154" i="2" s="1"/>
  <c r="H153" i="1"/>
  <c r="I153" i="2" s="1"/>
  <c r="H152" i="1"/>
  <c r="I152" i="2" s="1"/>
  <c r="H151" i="1"/>
  <c r="I151" i="2" s="1"/>
  <c r="H150" i="1"/>
  <c r="I150" i="2" s="1"/>
  <c r="H149" i="1"/>
  <c r="I149" i="2" s="1"/>
  <c r="H148" i="1"/>
  <c r="I148" i="2" s="1"/>
  <c r="H147" i="1"/>
  <c r="I147" i="2" s="1"/>
  <c r="H146" i="1"/>
  <c r="I146" i="2" s="1"/>
  <c r="H145" i="1"/>
  <c r="I145" i="2" s="1"/>
  <c r="H144" i="1"/>
  <c r="I144" i="2" s="1"/>
  <c r="H143" i="1"/>
  <c r="I143" i="2" s="1"/>
  <c r="H142" i="1"/>
  <c r="I142" i="2" s="1"/>
  <c r="H141" i="1"/>
  <c r="I141" i="2" s="1"/>
  <c r="H140" i="1"/>
  <c r="I140" i="2" s="1"/>
  <c r="H139" i="1"/>
  <c r="I139" i="2" s="1"/>
  <c r="H138" i="1"/>
  <c r="I138" i="2" s="1"/>
  <c r="H137" i="1"/>
  <c r="I137" i="2" s="1"/>
  <c r="H136" i="1"/>
  <c r="I136" i="2" s="1"/>
  <c r="H135" i="1"/>
  <c r="I135" i="2" s="1"/>
  <c r="H134" i="1"/>
  <c r="I134" i="2" s="1"/>
  <c r="H133" i="1"/>
  <c r="I133" i="2" s="1"/>
  <c r="H132" i="1"/>
  <c r="I132" i="2" s="1"/>
  <c r="H131" i="1"/>
  <c r="I131" i="2" s="1"/>
  <c r="H130" i="1"/>
  <c r="I130" i="2" s="1"/>
  <c r="H129" i="1"/>
  <c r="I129" i="2" s="1"/>
  <c r="H128" i="1"/>
  <c r="I128" i="2" s="1"/>
  <c r="H127" i="1"/>
  <c r="I127" i="2" s="1"/>
  <c r="H126" i="1"/>
  <c r="I126" i="2" s="1"/>
  <c r="H125" i="1"/>
  <c r="I125" i="2" s="1"/>
  <c r="H124" i="1"/>
  <c r="I124" i="2" s="1"/>
  <c r="H123" i="1"/>
  <c r="I123" i="2" s="1"/>
  <c r="H122" i="1"/>
  <c r="I122" i="2" s="1"/>
  <c r="H121" i="1"/>
  <c r="I121" i="2" s="1"/>
  <c r="H120" i="1"/>
  <c r="I120" i="2" s="1"/>
  <c r="H119" i="1"/>
  <c r="I119" i="2" s="1"/>
  <c r="H118" i="1"/>
  <c r="I118" i="2" s="1"/>
  <c r="H117" i="1"/>
  <c r="I117" i="2" s="1"/>
  <c r="H116" i="1"/>
  <c r="I116" i="2" s="1"/>
  <c r="H115" i="1"/>
  <c r="I115" i="2" s="1"/>
  <c r="H114" i="1"/>
  <c r="I114" i="2" s="1"/>
  <c r="H113" i="1"/>
  <c r="I113" i="2" s="1"/>
  <c r="H112" i="1"/>
  <c r="I112" i="2" s="1"/>
  <c r="H111" i="1"/>
  <c r="I111" i="2" s="1"/>
  <c r="H110" i="1"/>
  <c r="I110" i="2" s="1"/>
  <c r="H109" i="1"/>
  <c r="I109" i="2" s="1"/>
  <c r="H108" i="1"/>
  <c r="I108" i="2" s="1"/>
  <c r="H107" i="1"/>
  <c r="I107" i="2" s="1"/>
  <c r="H106" i="1"/>
  <c r="I106" i="2" s="1"/>
  <c r="H105" i="1"/>
  <c r="I105" i="2" s="1"/>
  <c r="H104" i="1"/>
  <c r="I104" i="2" s="1"/>
  <c r="H103" i="1"/>
  <c r="I103" i="2" s="1"/>
  <c r="H102" i="1"/>
  <c r="I102" i="2" s="1"/>
  <c r="H101" i="1"/>
  <c r="I101" i="2" s="1"/>
  <c r="H100" i="1"/>
  <c r="I100" i="2" s="1"/>
  <c r="H99" i="1"/>
  <c r="I99" i="2" s="1"/>
  <c r="H98" i="1"/>
  <c r="I98" i="2" s="1"/>
  <c r="H97" i="1"/>
  <c r="I97" i="2" s="1"/>
  <c r="H96" i="1"/>
  <c r="I96" i="2" s="1"/>
  <c r="H95" i="1"/>
  <c r="I95" i="2" s="1"/>
  <c r="H94" i="1"/>
  <c r="I94" i="2" s="1"/>
  <c r="H93" i="1"/>
  <c r="I93" i="2" s="1"/>
  <c r="H92" i="1"/>
  <c r="I92" i="2" s="1"/>
  <c r="H91" i="1"/>
  <c r="I91" i="2" s="1"/>
  <c r="H90" i="1"/>
  <c r="I90" i="2" s="1"/>
  <c r="H89" i="1"/>
  <c r="I89" i="2" s="1"/>
  <c r="H88" i="1"/>
  <c r="I88" i="2" s="1"/>
  <c r="H87" i="1"/>
  <c r="I87" i="2" s="1"/>
  <c r="H86" i="1"/>
  <c r="I86" i="2" s="1"/>
  <c r="H85" i="1"/>
  <c r="I85" i="2" s="1"/>
  <c r="H84" i="1"/>
  <c r="I84" i="2" s="1"/>
  <c r="H83" i="1"/>
  <c r="I83" i="2" s="1"/>
  <c r="H82" i="1"/>
  <c r="I82" i="2" s="1"/>
  <c r="H81" i="1"/>
  <c r="I81" i="2" s="1"/>
  <c r="H80" i="1"/>
  <c r="I80" i="2" s="1"/>
  <c r="H79" i="1"/>
  <c r="I79" i="2" s="1"/>
  <c r="H78" i="1"/>
  <c r="I78" i="2" s="1"/>
  <c r="H77" i="1"/>
  <c r="I77" i="2" s="1"/>
  <c r="H76" i="1"/>
  <c r="I76" i="2" s="1"/>
  <c r="H75" i="1"/>
  <c r="I75" i="2" s="1"/>
  <c r="H74" i="1"/>
  <c r="I74" i="2" s="1"/>
  <c r="H73" i="1"/>
  <c r="I73" i="2" s="1"/>
  <c r="H72" i="1"/>
  <c r="I72" i="2" s="1"/>
  <c r="H71" i="1"/>
  <c r="I71" i="2" s="1"/>
  <c r="H70" i="1"/>
  <c r="I70" i="2" s="1"/>
  <c r="H69" i="1"/>
  <c r="I69" i="2" s="1"/>
  <c r="H68" i="1"/>
  <c r="I68" i="2" s="1"/>
  <c r="H67" i="1"/>
  <c r="I67" i="2" s="1"/>
  <c r="H66" i="1"/>
  <c r="I66" i="2" s="1"/>
  <c r="H65" i="1"/>
  <c r="I65" i="2" s="1"/>
  <c r="H64" i="1"/>
  <c r="I64" i="2" s="1"/>
  <c r="H63" i="1"/>
  <c r="I63" i="2" s="1"/>
  <c r="H62" i="1"/>
  <c r="I62" i="2" s="1"/>
  <c r="H61" i="1"/>
  <c r="I61" i="2" s="1"/>
  <c r="H60" i="1"/>
  <c r="I60" i="2" s="1"/>
  <c r="H59" i="1"/>
  <c r="I59" i="2" s="1"/>
  <c r="H58" i="1"/>
  <c r="I58" i="2" s="1"/>
  <c r="H57" i="1"/>
  <c r="I57" i="2" s="1"/>
  <c r="H56" i="1"/>
  <c r="I56" i="2" s="1"/>
  <c r="H55" i="1"/>
  <c r="I55" i="2" s="1"/>
  <c r="H54" i="1"/>
  <c r="I54" i="2" s="1"/>
  <c r="H53" i="1"/>
  <c r="I53" i="2" s="1"/>
  <c r="H52" i="1"/>
  <c r="I52" i="2" s="1"/>
  <c r="H51" i="1"/>
  <c r="I51" i="2" s="1"/>
  <c r="H50" i="1"/>
  <c r="I50" i="2" s="1"/>
  <c r="H49" i="1"/>
  <c r="I49" i="2" s="1"/>
  <c r="H48" i="1"/>
  <c r="I48" i="2" s="1"/>
  <c r="H47" i="1"/>
  <c r="I47" i="2" s="1"/>
  <c r="H46" i="1"/>
  <c r="I46" i="2" s="1"/>
  <c r="H45" i="1"/>
  <c r="I45" i="2" s="1"/>
  <c r="H44" i="1"/>
  <c r="I44" i="2" s="1"/>
  <c r="H43" i="1"/>
  <c r="I43" i="2" s="1"/>
  <c r="H42" i="1"/>
  <c r="I42" i="2" s="1"/>
  <c r="H41" i="1"/>
  <c r="I41" i="2" s="1"/>
  <c r="H40" i="1"/>
  <c r="I40" i="2" s="1"/>
  <c r="H39" i="1"/>
  <c r="I39" i="2" s="1"/>
  <c r="H38" i="1"/>
  <c r="I38" i="2" s="1"/>
  <c r="H37" i="1"/>
  <c r="I37" i="2" s="1"/>
  <c r="H36" i="1"/>
  <c r="I36" i="2" s="1"/>
  <c r="H35" i="1"/>
  <c r="I35" i="2" s="1"/>
  <c r="H34" i="1"/>
  <c r="I34" i="2" s="1"/>
  <c r="H33" i="1"/>
  <c r="I33" i="2" s="1"/>
  <c r="H32" i="1"/>
  <c r="I32" i="2" s="1"/>
  <c r="H31" i="1"/>
  <c r="I31" i="2" s="1"/>
  <c r="H30" i="1"/>
  <c r="I30" i="2" s="1"/>
  <c r="H29" i="1"/>
  <c r="I29" i="2" s="1"/>
  <c r="H28" i="1"/>
  <c r="I28" i="2" s="1"/>
  <c r="H27" i="1"/>
  <c r="I27" i="2" s="1"/>
  <c r="H26" i="1"/>
  <c r="I26" i="2" s="1"/>
  <c r="H25" i="1"/>
  <c r="I25" i="2" s="1"/>
  <c r="H24" i="1"/>
  <c r="I24" i="2" s="1"/>
  <c r="H23" i="1"/>
  <c r="I23" i="2" s="1"/>
  <c r="H22" i="1"/>
  <c r="I22" i="2" s="1"/>
  <c r="H21" i="1"/>
  <c r="I21" i="2" s="1"/>
  <c r="H20" i="1"/>
  <c r="I20" i="2" s="1"/>
  <c r="H19" i="1"/>
  <c r="I19" i="2" s="1"/>
  <c r="H18" i="1"/>
  <c r="I18" i="2" s="1"/>
  <c r="H17" i="1"/>
  <c r="I17" i="2" s="1"/>
  <c r="H16" i="1"/>
  <c r="I16" i="2" s="1"/>
  <c r="H15" i="1"/>
  <c r="I15" i="2" s="1"/>
  <c r="H14" i="1"/>
  <c r="I14" i="2" s="1"/>
  <c r="H13" i="1"/>
  <c r="I13" i="2" s="1"/>
  <c r="H12" i="1"/>
  <c r="I12" i="2" s="1"/>
  <c r="H11" i="1"/>
  <c r="I11" i="2" s="1"/>
  <c r="H10" i="1"/>
  <c r="I10" i="2" s="1"/>
  <c r="H9" i="1"/>
  <c r="I9" i="2" s="1"/>
  <c r="H8" i="1"/>
  <c r="I8" i="2" s="1"/>
  <c r="H7" i="1"/>
  <c r="I7" i="2" s="1"/>
  <c r="H6" i="1"/>
  <c r="I6" i="2" s="1"/>
  <c r="H5" i="1"/>
  <c r="I5" i="2" s="1"/>
  <c r="H4" i="1"/>
  <c r="I4" i="2" s="1"/>
  <c r="H3" i="1"/>
  <c r="I3" i="2" s="1"/>
  <c r="H2" i="1"/>
  <c r="I2" i="2" s="1"/>
  <c r="K5" i="2" l="1"/>
  <c r="K29" i="2"/>
  <c r="K45" i="2"/>
  <c r="K53" i="2"/>
  <c r="K61" i="2"/>
  <c r="K69" i="2"/>
  <c r="K77" i="2"/>
  <c r="K85" i="2"/>
  <c r="K13" i="2"/>
  <c r="K21" i="2"/>
  <c r="K37" i="2"/>
  <c r="K207" i="2"/>
  <c r="F163" i="2"/>
  <c r="H163" i="2" s="1"/>
  <c r="F203" i="2"/>
  <c r="H203" i="2" s="1"/>
  <c r="F217" i="2"/>
  <c r="H217" i="2" s="1"/>
  <c r="F161" i="2"/>
  <c r="H161" i="2" s="1"/>
  <c r="F185" i="2"/>
  <c r="H185" i="2" s="1"/>
  <c r="F209" i="2"/>
  <c r="H209" i="2" s="1"/>
  <c r="F225" i="2"/>
  <c r="H225" i="2" s="1"/>
  <c r="F40" i="2"/>
  <c r="H40" i="2" s="1"/>
  <c r="F227" i="2"/>
  <c r="H227" i="2" s="1"/>
  <c r="F226" i="2"/>
  <c r="H226" i="2" s="1"/>
  <c r="F202" i="2"/>
  <c r="H202" i="2" s="1"/>
  <c r="F194" i="2"/>
  <c r="H194" i="2" s="1"/>
  <c r="F186" i="2"/>
  <c r="H186" i="2" s="1"/>
  <c r="F162" i="2"/>
  <c r="H162" i="2" s="1"/>
  <c r="K7" i="2"/>
  <c r="K15" i="2"/>
  <c r="K23" i="2"/>
  <c r="K31" i="2"/>
  <c r="K39" i="2"/>
  <c r="K47" i="2"/>
  <c r="K55" i="2"/>
  <c r="K63" i="2"/>
  <c r="K71" i="2"/>
  <c r="K79" i="2"/>
  <c r="K87" i="2"/>
  <c r="F8" i="2"/>
  <c r="H8" i="2" s="1"/>
  <c r="K107" i="2"/>
  <c r="F153" i="2"/>
  <c r="H153" i="2" s="1"/>
  <c r="K76" i="2"/>
  <c r="F156" i="2"/>
  <c r="H156" i="2" s="1"/>
  <c r="K143" i="2"/>
  <c r="K4" i="2"/>
  <c r="K12" i="2"/>
  <c r="K20" i="2"/>
  <c r="K28" i="2"/>
  <c r="K36" i="2"/>
  <c r="K44" i="2"/>
  <c r="K52" i="2"/>
  <c r="K60" i="2"/>
  <c r="K68" i="2"/>
  <c r="K84" i="2"/>
  <c r="K108" i="2"/>
  <c r="K196" i="2"/>
  <c r="F10" i="2"/>
  <c r="H10" i="2" s="1"/>
  <c r="F18" i="2"/>
  <c r="H18" i="2" s="1"/>
  <c r="F34" i="2"/>
  <c r="H34" i="2" s="1"/>
  <c r="F42" i="2"/>
  <c r="H42" i="2" s="1"/>
  <c r="F50" i="2"/>
  <c r="H50" i="2" s="1"/>
  <c r="F74" i="2"/>
  <c r="H74" i="2" s="1"/>
  <c r="F82" i="2"/>
  <c r="H82" i="2" s="1"/>
  <c r="F106" i="2"/>
  <c r="H106" i="2" s="1"/>
  <c r="F114" i="2"/>
  <c r="H114" i="2" s="1"/>
  <c r="F122" i="2"/>
  <c r="H122" i="2" s="1"/>
  <c r="F130" i="2"/>
  <c r="H130" i="2" s="1"/>
  <c r="F138" i="2"/>
  <c r="H138" i="2" s="1"/>
  <c r="F154" i="2"/>
  <c r="H154" i="2" s="1"/>
  <c r="F170" i="2"/>
  <c r="H170" i="2" s="1"/>
  <c r="F24" i="2"/>
  <c r="H24" i="2" s="1"/>
  <c r="F56" i="2"/>
  <c r="H56" i="2" s="1"/>
  <c r="F72" i="2"/>
  <c r="H72" i="2" s="1"/>
  <c r="F88" i="2"/>
  <c r="H88" i="2" s="1"/>
  <c r="F104" i="2"/>
  <c r="H104" i="2" s="1"/>
  <c r="F120" i="2"/>
  <c r="H120" i="2" s="1"/>
  <c r="F136" i="2"/>
  <c r="H136" i="2" s="1"/>
  <c r="F152" i="2"/>
  <c r="H152" i="2" s="1"/>
  <c r="K6" i="2"/>
  <c r="K14" i="2"/>
  <c r="K22" i="2"/>
  <c r="K30" i="2"/>
  <c r="K38" i="2"/>
  <c r="K46" i="2"/>
  <c r="K54" i="2"/>
  <c r="K62" i="2"/>
  <c r="K70" i="2"/>
  <c r="K78" i="2"/>
  <c r="K86" i="2"/>
  <c r="K190" i="2"/>
  <c r="F6" i="2"/>
  <c r="H6" i="2" s="1"/>
  <c r="F14" i="2"/>
  <c r="H14" i="2" s="1"/>
  <c r="F22" i="2"/>
  <c r="H22" i="2" s="1"/>
  <c r="F30" i="2"/>
  <c r="H30" i="2" s="1"/>
  <c r="F38" i="2"/>
  <c r="H38" i="2" s="1"/>
  <c r="F46" i="2"/>
  <c r="H46" i="2" s="1"/>
  <c r="F54" i="2"/>
  <c r="H54" i="2" s="1"/>
  <c r="F62" i="2"/>
  <c r="H62" i="2" s="1"/>
  <c r="F70" i="2"/>
  <c r="H70" i="2" s="1"/>
  <c r="F78" i="2"/>
  <c r="H78" i="2" s="1"/>
  <c r="F86" i="2"/>
  <c r="H86" i="2" s="1"/>
  <c r="F94" i="2"/>
  <c r="H94" i="2" s="1"/>
  <c r="F102" i="2"/>
  <c r="H102" i="2" s="1"/>
  <c r="F110" i="2"/>
  <c r="H110" i="2" s="1"/>
  <c r="F118" i="2"/>
  <c r="H118" i="2" s="1"/>
  <c r="F126" i="2"/>
  <c r="H126" i="2" s="1"/>
  <c r="F134" i="2"/>
  <c r="H134" i="2" s="1"/>
  <c r="F142" i="2"/>
  <c r="H142" i="2" s="1"/>
  <c r="F55" i="2"/>
  <c r="H55" i="2" s="1"/>
  <c r="F119" i="2"/>
  <c r="H119" i="2" s="1"/>
  <c r="F16" i="2"/>
  <c r="H16" i="2" s="1"/>
  <c r="F32" i="2"/>
  <c r="H32" i="2" s="1"/>
  <c r="F48" i="2"/>
  <c r="H48" i="2" s="1"/>
  <c r="F64" i="2"/>
  <c r="H64" i="2" s="1"/>
  <c r="F80" i="2"/>
  <c r="H80" i="2" s="1"/>
  <c r="F96" i="2"/>
  <c r="H96" i="2" s="1"/>
  <c r="F112" i="2"/>
  <c r="H112" i="2" s="1"/>
  <c r="F128" i="2"/>
  <c r="H128" i="2" s="1"/>
  <c r="F144" i="2"/>
  <c r="H144" i="2" s="1"/>
  <c r="F26" i="2"/>
  <c r="H26" i="2" s="1"/>
  <c r="F58" i="2"/>
  <c r="H58" i="2" s="1"/>
  <c r="F66" i="2"/>
  <c r="H66" i="2" s="1"/>
  <c r="F90" i="2"/>
  <c r="H90" i="2" s="1"/>
  <c r="F98" i="2"/>
  <c r="H98" i="2" s="1"/>
  <c r="F146" i="2"/>
  <c r="H146" i="2" s="1"/>
  <c r="F178" i="2"/>
  <c r="H178" i="2" s="1"/>
  <c r="F210" i="2"/>
  <c r="H210" i="2" s="1"/>
  <c r="F218" i="2"/>
  <c r="H218" i="2" s="1"/>
  <c r="K8" i="2"/>
  <c r="K16" i="2"/>
  <c r="K24" i="2"/>
  <c r="K32" i="2"/>
  <c r="K40" i="2"/>
  <c r="K48" i="2"/>
  <c r="K56" i="2"/>
  <c r="K64" i="2"/>
  <c r="K72" i="2"/>
  <c r="K80" i="2"/>
  <c r="K88" i="2"/>
  <c r="K18" i="2"/>
  <c r="K9" i="2"/>
  <c r="K17" i="2"/>
  <c r="K25" i="2"/>
  <c r="K33" i="2"/>
  <c r="K41" i="2"/>
  <c r="K49" i="2"/>
  <c r="K57" i="2"/>
  <c r="K65" i="2"/>
  <c r="K73" i="2"/>
  <c r="K81" i="2"/>
  <c r="K89" i="2"/>
  <c r="K19" i="2"/>
  <c r="K10" i="2"/>
  <c r="K26" i="2"/>
  <c r="K34" i="2"/>
  <c r="K42" i="2"/>
  <c r="K50" i="2"/>
  <c r="K58" i="2"/>
  <c r="K66" i="2"/>
  <c r="K74" i="2"/>
  <c r="K82" i="2"/>
  <c r="K3" i="2"/>
  <c r="K11" i="2"/>
  <c r="K27" i="2"/>
  <c r="K35" i="2"/>
  <c r="K43" i="2"/>
  <c r="K51" i="2"/>
  <c r="K59" i="2"/>
  <c r="K67" i="2"/>
  <c r="K75" i="2"/>
  <c r="K83" i="2"/>
  <c r="K123" i="2"/>
  <c r="F2" i="2"/>
  <c r="H2" i="2" s="1"/>
  <c r="K192" i="2"/>
  <c r="K200" i="2"/>
  <c r="K217" i="2"/>
  <c r="K225" i="2"/>
  <c r="K233" i="2"/>
  <c r="K137" i="2"/>
  <c r="K145" i="2"/>
  <c r="K153" i="2"/>
  <c r="K161" i="2"/>
  <c r="K169" i="2"/>
  <c r="K177" i="2"/>
  <c r="K185" i="2"/>
  <c r="K201" i="2"/>
  <c r="K218" i="2"/>
  <c r="K226" i="2"/>
  <c r="K146" i="2"/>
  <c r="K170" i="2"/>
  <c r="K227" i="2"/>
  <c r="K228" i="2"/>
  <c r="K140" i="2"/>
  <c r="K210" i="2"/>
  <c r="F7" i="2"/>
  <c r="H7" i="2" s="1"/>
  <c r="F15" i="2"/>
  <c r="H15" i="2" s="1"/>
  <c r="F23" i="2"/>
  <c r="H23" i="2" s="1"/>
  <c r="F31" i="2"/>
  <c r="H31" i="2" s="1"/>
  <c r="F39" i="2"/>
  <c r="H39" i="2" s="1"/>
  <c r="F47" i="2"/>
  <c r="H47" i="2" s="1"/>
  <c r="F63" i="2"/>
  <c r="H63" i="2" s="1"/>
  <c r="F71" i="2"/>
  <c r="H71" i="2" s="1"/>
  <c r="F79" i="2"/>
  <c r="H79" i="2" s="1"/>
  <c r="F87" i="2"/>
  <c r="H87" i="2" s="1"/>
  <c r="F95" i="2"/>
  <c r="H95" i="2" s="1"/>
  <c r="F103" i="2"/>
  <c r="H103" i="2" s="1"/>
  <c r="F111" i="2"/>
  <c r="H111" i="2" s="1"/>
  <c r="F127" i="2"/>
  <c r="H127" i="2" s="1"/>
  <c r="F135" i="2"/>
  <c r="H135" i="2" s="1"/>
  <c r="F143" i="2"/>
  <c r="H143" i="2" s="1"/>
  <c r="K139" i="2"/>
  <c r="K147" i="2"/>
  <c r="K179" i="2"/>
  <c r="K124" i="2"/>
  <c r="K164" i="2"/>
  <c r="K187" i="2"/>
  <c r="K104" i="2"/>
  <c r="K144" i="2"/>
  <c r="F151" i="2"/>
  <c r="H151" i="2" s="1"/>
  <c r="F167" i="2"/>
  <c r="H167" i="2" s="1"/>
  <c r="F183" i="2"/>
  <c r="H183" i="2" s="1"/>
  <c r="F199" i="2"/>
  <c r="H199" i="2" s="1"/>
  <c r="F215" i="2"/>
  <c r="H215" i="2" s="1"/>
  <c r="F223" i="2"/>
  <c r="H223" i="2" s="1"/>
  <c r="K106" i="2"/>
  <c r="K90" i="2"/>
  <c r="K98" i="2"/>
  <c r="K114" i="2"/>
  <c r="K122" i="2"/>
  <c r="K130" i="2"/>
  <c r="K138" i="2"/>
  <c r="K154" i="2"/>
  <c r="K162" i="2"/>
  <c r="K178" i="2"/>
  <c r="K186" i="2"/>
  <c r="K194" i="2"/>
  <c r="K202" i="2"/>
  <c r="K211" i="2"/>
  <c r="K219" i="2"/>
  <c r="F160" i="2"/>
  <c r="H160" i="2" s="1"/>
  <c r="F168" i="2"/>
  <c r="H168" i="2" s="1"/>
  <c r="F176" i="2"/>
  <c r="H176" i="2" s="1"/>
  <c r="F184" i="2"/>
  <c r="H184" i="2" s="1"/>
  <c r="F192" i="2"/>
  <c r="H192" i="2" s="1"/>
  <c r="F200" i="2"/>
  <c r="H200" i="2" s="1"/>
  <c r="F208" i="2"/>
  <c r="H208" i="2" s="1"/>
  <c r="F216" i="2"/>
  <c r="H216" i="2" s="1"/>
  <c r="F224" i="2"/>
  <c r="H224" i="2" s="1"/>
  <c r="F232" i="2"/>
  <c r="H232" i="2" s="1"/>
  <c r="K184" i="2"/>
  <c r="K113" i="2"/>
  <c r="F159" i="2"/>
  <c r="H159" i="2" s="1"/>
  <c r="F175" i="2"/>
  <c r="H175" i="2" s="1"/>
  <c r="F191" i="2"/>
  <c r="H191" i="2" s="1"/>
  <c r="F207" i="2"/>
  <c r="H207" i="2" s="1"/>
  <c r="F231" i="2"/>
  <c r="H231" i="2" s="1"/>
  <c r="K188" i="2"/>
  <c r="K91" i="2"/>
  <c r="K99" i="2"/>
  <c r="K115" i="2"/>
  <c r="K131" i="2"/>
  <c r="K155" i="2"/>
  <c r="K163" i="2"/>
  <c r="K171" i="2"/>
  <c r="K195" i="2"/>
  <c r="K203" i="2"/>
  <c r="K212" i="2"/>
  <c r="K220" i="2"/>
  <c r="F9" i="2"/>
  <c r="H9" i="2" s="1"/>
  <c r="F17" i="2"/>
  <c r="H17" i="2" s="1"/>
  <c r="F25" i="2"/>
  <c r="H25" i="2" s="1"/>
  <c r="F33" i="2"/>
  <c r="H33" i="2" s="1"/>
  <c r="F41" i="2"/>
  <c r="H41" i="2" s="1"/>
  <c r="F49" i="2"/>
  <c r="H49" i="2" s="1"/>
  <c r="F57" i="2"/>
  <c r="H57" i="2" s="1"/>
  <c r="F65" i="2"/>
  <c r="H65" i="2" s="1"/>
  <c r="F73" i="2"/>
  <c r="H73" i="2" s="1"/>
  <c r="F81" i="2"/>
  <c r="H81" i="2" s="1"/>
  <c r="F89" i="2"/>
  <c r="H89" i="2" s="1"/>
  <c r="F97" i="2"/>
  <c r="H97" i="2" s="1"/>
  <c r="F105" i="2"/>
  <c r="H105" i="2" s="1"/>
  <c r="F113" i="2"/>
  <c r="H113" i="2" s="1"/>
  <c r="F121" i="2"/>
  <c r="H121" i="2" s="1"/>
  <c r="F129" i="2"/>
  <c r="H129" i="2" s="1"/>
  <c r="F137" i="2"/>
  <c r="H137" i="2" s="1"/>
  <c r="F145" i="2"/>
  <c r="H145" i="2" s="1"/>
  <c r="F169" i="2"/>
  <c r="H169" i="2" s="1"/>
  <c r="F177" i="2"/>
  <c r="H177" i="2" s="1"/>
  <c r="F193" i="2"/>
  <c r="H193" i="2" s="1"/>
  <c r="F201" i="2"/>
  <c r="H201" i="2" s="1"/>
  <c r="F233" i="2"/>
  <c r="H233" i="2" s="1"/>
  <c r="K129" i="2"/>
  <c r="K92" i="2"/>
  <c r="K116" i="2"/>
  <c r="K132" i="2"/>
  <c r="K148" i="2"/>
  <c r="K156" i="2"/>
  <c r="K172" i="2"/>
  <c r="K180" i="2"/>
  <c r="K204" i="2"/>
  <c r="K213" i="2"/>
  <c r="K221" i="2"/>
  <c r="K229" i="2"/>
  <c r="K120" i="2"/>
  <c r="K168" i="2"/>
  <c r="K121" i="2"/>
  <c r="K93" i="2"/>
  <c r="K101" i="2"/>
  <c r="K109" i="2"/>
  <c r="K117" i="2"/>
  <c r="K125" i="2"/>
  <c r="K133" i="2"/>
  <c r="K141" i="2"/>
  <c r="K149" i="2"/>
  <c r="K157" i="2"/>
  <c r="K165" i="2"/>
  <c r="K173" i="2"/>
  <c r="K181" i="2"/>
  <c r="K189" i="2"/>
  <c r="K197" i="2"/>
  <c r="K205" i="2"/>
  <c r="K214" i="2"/>
  <c r="K222" i="2"/>
  <c r="K230" i="2"/>
  <c r="F3" i="2"/>
  <c r="H3" i="2" s="1"/>
  <c r="F11" i="2"/>
  <c r="H11" i="2" s="1"/>
  <c r="F19" i="2"/>
  <c r="H19" i="2" s="1"/>
  <c r="F27" i="2"/>
  <c r="H27" i="2" s="1"/>
  <c r="F35" i="2"/>
  <c r="H35" i="2" s="1"/>
  <c r="F43" i="2"/>
  <c r="H43" i="2" s="1"/>
  <c r="F51" i="2"/>
  <c r="H51" i="2" s="1"/>
  <c r="F59" i="2"/>
  <c r="H59" i="2" s="1"/>
  <c r="F67" i="2"/>
  <c r="H67" i="2" s="1"/>
  <c r="F75" i="2"/>
  <c r="H75" i="2" s="1"/>
  <c r="F83" i="2"/>
  <c r="H83" i="2" s="1"/>
  <c r="F91" i="2"/>
  <c r="H91" i="2" s="1"/>
  <c r="F99" i="2"/>
  <c r="H99" i="2" s="1"/>
  <c r="F107" i="2"/>
  <c r="H107" i="2" s="1"/>
  <c r="F115" i="2"/>
  <c r="H115" i="2" s="1"/>
  <c r="F123" i="2"/>
  <c r="H123" i="2" s="1"/>
  <c r="F131" i="2"/>
  <c r="H131" i="2" s="1"/>
  <c r="F139" i="2"/>
  <c r="H139" i="2" s="1"/>
  <c r="F147" i="2"/>
  <c r="H147" i="2" s="1"/>
  <c r="F155" i="2"/>
  <c r="H155" i="2" s="1"/>
  <c r="F171" i="2"/>
  <c r="H171" i="2" s="1"/>
  <c r="F179" i="2"/>
  <c r="H179" i="2" s="1"/>
  <c r="F187" i="2"/>
  <c r="H187" i="2" s="1"/>
  <c r="F195" i="2"/>
  <c r="H195" i="2" s="1"/>
  <c r="F211" i="2"/>
  <c r="H211" i="2" s="1"/>
  <c r="F219" i="2"/>
  <c r="H219" i="2" s="1"/>
  <c r="K112" i="2"/>
  <c r="K136" i="2"/>
  <c r="K160" i="2"/>
  <c r="K176" i="2"/>
  <c r="K105" i="2"/>
  <c r="K193" i="2"/>
  <c r="K94" i="2"/>
  <c r="K102" i="2"/>
  <c r="K110" i="2"/>
  <c r="K118" i="2"/>
  <c r="K126" i="2"/>
  <c r="K134" i="2"/>
  <c r="K142" i="2"/>
  <c r="K150" i="2"/>
  <c r="K158" i="2"/>
  <c r="K166" i="2"/>
  <c r="K174" i="2"/>
  <c r="K182" i="2"/>
  <c r="K198" i="2"/>
  <c r="K206" i="2"/>
  <c r="K215" i="2"/>
  <c r="K223" i="2"/>
  <c r="K231" i="2"/>
  <c r="F4" i="2"/>
  <c r="H4" i="2" s="1"/>
  <c r="F12" i="2"/>
  <c r="H12" i="2" s="1"/>
  <c r="F20" i="2"/>
  <c r="H20" i="2" s="1"/>
  <c r="F28" i="2"/>
  <c r="H28" i="2" s="1"/>
  <c r="F36" i="2"/>
  <c r="H36" i="2" s="1"/>
  <c r="F44" i="2"/>
  <c r="H44" i="2" s="1"/>
  <c r="F52" i="2"/>
  <c r="H52" i="2" s="1"/>
  <c r="F60" i="2"/>
  <c r="H60" i="2" s="1"/>
  <c r="F68" i="2"/>
  <c r="H68" i="2" s="1"/>
  <c r="F76" i="2"/>
  <c r="H76" i="2" s="1"/>
  <c r="F84" i="2"/>
  <c r="H84" i="2" s="1"/>
  <c r="F92" i="2"/>
  <c r="H92" i="2" s="1"/>
  <c r="F100" i="2"/>
  <c r="H100" i="2" s="1"/>
  <c r="F108" i="2"/>
  <c r="H108" i="2" s="1"/>
  <c r="F116" i="2"/>
  <c r="H116" i="2" s="1"/>
  <c r="F124" i="2"/>
  <c r="H124" i="2" s="1"/>
  <c r="F132" i="2"/>
  <c r="H132" i="2" s="1"/>
  <c r="F140" i="2"/>
  <c r="H140" i="2" s="1"/>
  <c r="F148" i="2"/>
  <c r="H148" i="2" s="1"/>
  <c r="K96" i="2"/>
  <c r="K128" i="2"/>
  <c r="K152" i="2"/>
  <c r="K209" i="2"/>
  <c r="K100" i="2"/>
  <c r="K97" i="2"/>
  <c r="K95" i="2"/>
  <c r="K103" i="2"/>
  <c r="K111" i="2"/>
  <c r="K119" i="2"/>
  <c r="K127" i="2"/>
  <c r="K135" i="2"/>
  <c r="K151" i="2"/>
  <c r="K159" i="2"/>
  <c r="K167" i="2"/>
  <c r="K175" i="2"/>
  <c r="K183" i="2"/>
  <c r="K191" i="2"/>
  <c r="K199" i="2"/>
  <c r="K208" i="2"/>
  <c r="K216" i="2"/>
  <c r="K224" i="2"/>
  <c r="K232" i="2"/>
  <c r="F5" i="2"/>
  <c r="H5" i="2" s="1"/>
  <c r="F13" i="2"/>
  <c r="H13" i="2" s="1"/>
  <c r="F21" i="2"/>
  <c r="H21" i="2" s="1"/>
  <c r="F29" i="2"/>
  <c r="H29" i="2" s="1"/>
  <c r="F37" i="2"/>
  <c r="H37" i="2" s="1"/>
  <c r="F45" i="2"/>
  <c r="H45" i="2" s="1"/>
  <c r="F53" i="2"/>
  <c r="H53" i="2" s="1"/>
  <c r="F61" i="2"/>
  <c r="H61" i="2" s="1"/>
  <c r="F69" i="2"/>
  <c r="H69" i="2" s="1"/>
  <c r="F77" i="2"/>
  <c r="H77" i="2" s="1"/>
  <c r="F85" i="2"/>
  <c r="H85" i="2" s="1"/>
  <c r="F93" i="2"/>
  <c r="H93" i="2" s="1"/>
  <c r="F101" i="2"/>
  <c r="H101" i="2" s="1"/>
  <c r="F109" i="2"/>
  <c r="H109" i="2" s="1"/>
  <c r="F117" i="2"/>
  <c r="H117" i="2" s="1"/>
  <c r="F125" i="2"/>
  <c r="H125" i="2" s="1"/>
  <c r="F133" i="2"/>
  <c r="H133" i="2" s="1"/>
  <c r="F141" i="2"/>
  <c r="H141" i="2" s="1"/>
  <c r="F149" i="2"/>
  <c r="H149" i="2" s="1"/>
  <c r="F164" i="2"/>
  <c r="H164" i="2" s="1"/>
  <c r="F172" i="2"/>
  <c r="H172" i="2" s="1"/>
  <c r="F180" i="2"/>
  <c r="H180" i="2" s="1"/>
  <c r="F188" i="2"/>
  <c r="H188" i="2" s="1"/>
  <c r="F196" i="2"/>
  <c r="H196" i="2" s="1"/>
  <c r="F204" i="2"/>
  <c r="H204" i="2" s="1"/>
  <c r="F212" i="2"/>
  <c r="H212" i="2" s="1"/>
  <c r="F220" i="2"/>
  <c r="H220" i="2" s="1"/>
  <c r="F228" i="2"/>
  <c r="H228" i="2" s="1"/>
  <c r="F157" i="2"/>
  <c r="H157" i="2" s="1"/>
  <c r="F165" i="2"/>
  <c r="H165" i="2" s="1"/>
  <c r="F173" i="2"/>
  <c r="H173" i="2" s="1"/>
  <c r="F181" i="2"/>
  <c r="H181" i="2" s="1"/>
  <c r="F189" i="2"/>
  <c r="H189" i="2" s="1"/>
  <c r="F197" i="2"/>
  <c r="H197" i="2" s="1"/>
  <c r="F205" i="2"/>
  <c r="H205" i="2" s="1"/>
  <c r="F213" i="2"/>
  <c r="H213" i="2" s="1"/>
  <c r="F221" i="2"/>
  <c r="H221" i="2" s="1"/>
  <c r="F229" i="2"/>
  <c r="H229" i="2" s="1"/>
  <c r="F150" i="2"/>
  <c r="H150" i="2" s="1"/>
  <c r="F158" i="2"/>
  <c r="H158" i="2" s="1"/>
  <c r="F166" i="2"/>
  <c r="H166" i="2" s="1"/>
  <c r="F174" i="2"/>
  <c r="H174" i="2" s="1"/>
  <c r="F182" i="2"/>
  <c r="H182" i="2" s="1"/>
  <c r="F190" i="2"/>
  <c r="H190" i="2" s="1"/>
  <c r="F198" i="2"/>
  <c r="H198" i="2" s="1"/>
  <c r="F206" i="2"/>
  <c r="H206" i="2" s="1"/>
  <c r="F214" i="2"/>
  <c r="H214" i="2" s="1"/>
  <c r="F222" i="2"/>
  <c r="H222" i="2" s="1"/>
  <c r="F230" i="2"/>
  <c r="H230" i="2" s="1"/>
  <c r="K2" i="2"/>
</calcChain>
</file>

<file path=xl/sharedStrings.xml><?xml version="1.0" encoding="utf-8"?>
<sst xmlns="http://schemas.openxmlformats.org/spreadsheetml/2006/main" count="736" uniqueCount="35">
  <si>
    <t>Period</t>
  </si>
  <si>
    <t>Trade Flow</t>
  </si>
  <si>
    <t>Reporter</t>
  </si>
  <si>
    <t>Partner</t>
  </si>
  <si>
    <t>Commodity Code</t>
  </si>
  <si>
    <t>Trade Value (US)</t>
  </si>
  <si>
    <t>Net Weight(kg)</t>
  </si>
  <si>
    <t>Export Prices (World)</t>
  </si>
  <si>
    <t>X</t>
  </si>
  <si>
    <t>India</t>
  </si>
  <si>
    <t>Mauritius</t>
  </si>
  <si>
    <t>Export Share</t>
  </si>
  <si>
    <t>South Africa</t>
  </si>
  <si>
    <t>Year</t>
  </si>
  <si>
    <t>Trade Value</t>
  </si>
  <si>
    <t>Country Dummy</t>
  </si>
  <si>
    <t>Post MoU Dummy</t>
  </si>
  <si>
    <t>MoU in Effect Dummy</t>
  </si>
  <si>
    <t>Weighted Export Price</t>
  </si>
  <si>
    <t>Export Prices (Country)</t>
  </si>
  <si>
    <t>Producer Prices</t>
  </si>
  <si>
    <t>GPR_importer</t>
  </si>
  <si>
    <t>GPR_exporter</t>
  </si>
  <si>
    <t>GPR_importer_std</t>
  </si>
  <si>
    <t>GPR_world</t>
  </si>
  <si>
    <t>MoU * Export Share</t>
  </si>
  <si>
    <t>Import Share</t>
  </si>
  <si>
    <t>Pol Stab_importer</t>
  </si>
  <si>
    <t>Pol Stab_exporter</t>
  </si>
  <si>
    <t>PS_exporter</t>
  </si>
  <si>
    <t>PS_importer</t>
  </si>
  <si>
    <t>MoU * Import Share</t>
  </si>
  <si>
    <t>Source: Period, Trade Flow, Reporter, Partner, Commodity Code, Net Weight: UN comtrade: https://comtradeplus.un.org/</t>
  </si>
  <si>
    <t>Source: Producer Prices: https://www.fao.org/faostat/en/#data/PP</t>
  </si>
  <si>
    <t>Source: GPR_importer, exporter, world: https://www.matteoiacoviello.com/gpr.htm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</si>
</sst>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409]* #,##0.00_ ;_-[$$-409]* \-#,##0.00\ ;_-[$$-409]* &quot;-&quot;??_ ;_-@_ "/>
    <numFmt numFmtId="165" formatCode="_-[$$-409]* #,##0_ ;_-[$$-409]* \-#,##0\ ;_-[$$-409]* &quot;-&quot;??_ ;_-@_ "/>
    <numFmt numFmtId="166" formatCode="0.0000%"/>
    <numFmt numFmtId="167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4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164" fontId="0" fillId="0" borderId="0" xfId="0" applyNumberFormat="1"/>
    <xf numFmtId="165" fontId="0" fillId="0" borderId="0" xfId="0" applyNumberFormat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>
      <alignment horizontal="right" vertical="center" wrapText="1"/>
    </xf>
    <xf numFmtId="3" fontId="0" fillId="0" borderId="1" xfId="0" applyNumberFormat="1" applyBorder="1" applyAlignment="1">
      <alignment horizontal="right" vertical="center" wrapText="1"/>
    </xf>
    <xf numFmtId="164" fontId="0" fillId="0" borderId="1" xfId="0" applyNumberFormat="1" applyBorder="1"/>
    <xf numFmtId="166" fontId="0" fillId="0" borderId="1" xfId="1" applyNumberFormat="1" applyFont="1" applyBorder="1"/>
    <xf numFmtId="0" fontId="0" fillId="0" borderId="1" xfId="0" applyBorder="1" applyAlignment="1">
      <alignment horizontal="right" vertical="center" wrapText="1"/>
    </xf>
    <xf numFmtId="165" fontId="0" fillId="0" borderId="1" xfId="0" applyNumberFormat="1" applyBorder="1" applyAlignment="1">
      <alignment horizontal="right" vertical="center" wrapText="1"/>
    </xf>
    <xf numFmtId="0" fontId="2" fillId="0" borderId="1" xfId="0" applyFont="1" applyBorder="1"/>
    <xf numFmtId="0" fontId="0" fillId="0" borderId="1" xfId="0" applyBorder="1"/>
    <xf numFmtId="4" fontId="4" fillId="0" borderId="0" xfId="3" applyNumberFormat="1"/>
    <xf numFmtId="167" fontId="0" fillId="0" borderId="1" xfId="0" applyNumberFormat="1" applyBorder="1"/>
    <xf numFmtId="4" fontId="0" fillId="0" borderId="0" xfId="0" applyNumberFormat="1"/>
    <xf numFmtId="0" fontId="0" fillId="0" borderId="1" xfId="0" applyBorder="1" applyAlignment="1">
      <alignment wrapText="1"/>
    </xf>
    <xf numFmtId="0" fontId="0" fillId="0" borderId="2" xfId="0" applyBorder="1"/>
    <xf numFmtId="0" fontId="2" fillId="0" borderId="0" xfId="0" applyFont="1"/>
    <xf numFmtId="1" fontId="2" fillId="0" borderId="0" xfId="0" applyNumberFormat="1" applyFont="1"/>
  </cellXfs>
  <cellStyles count="4">
    <cellStyle name="Normal" xfId="0" builtinId="0"/>
    <cellStyle name="Normal 2" xfId="2" xr:uid="{B02BC74D-3A6A-4CC0-B0F2-C970A0CA61DF}"/>
    <cellStyle name="Normal 3" xfId="3" xr:uid="{C6790542-AAA4-4748-AA5C-F2D89DD6F9C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7991B-9EBD-42E6-A330-08F792846D97}">
  <dimension ref="A1:AD237"/>
  <sheetViews>
    <sheetView tabSelected="1" topLeftCell="A71" zoomScaleNormal="100" workbookViewId="0">
      <selection activeCell="A71" sqref="A71"/>
    </sheetView>
  </sheetViews>
  <sheetFormatPr defaultRowHeight="15" x14ac:dyDescent="0.25"/>
  <cols>
    <col min="1" max="1" width="6.85546875" bestFit="1" customWidth="1"/>
    <col min="2" max="2" width="10.7109375" bestFit="1" customWidth="1"/>
    <col min="3" max="3" width="8.85546875" bestFit="1" customWidth="1"/>
    <col min="4" max="4" width="16.7109375" customWidth="1"/>
    <col min="5" max="5" width="16.42578125" bestFit="1" customWidth="1"/>
    <col min="6" max="6" width="16" bestFit="1" customWidth="1"/>
    <col min="7" max="7" width="14.85546875" bestFit="1" customWidth="1"/>
    <col min="8" max="8" width="21.85546875" customWidth="1"/>
    <col min="9" max="9" width="20.140625" bestFit="1" customWidth="1"/>
    <col min="10" max="10" width="12.140625" bestFit="1" customWidth="1"/>
    <col min="11" max="11" width="15.5703125" bestFit="1" customWidth="1"/>
    <col min="12" max="12" width="14.85546875" bestFit="1" customWidth="1"/>
    <col min="13" max="13" width="14.42578125" customWidth="1"/>
    <col min="14" max="14" width="18.28515625" customWidth="1"/>
    <col min="15" max="15" width="12.28515625" customWidth="1"/>
    <col min="16" max="16" width="12.42578125" bestFit="1" customWidth="1"/>
    <col min="17" max="17" width="19.28515625" customWidth="1"/>
    <col min="18" max="18" width="19.85546875" customWidth="1"/>
    <col min="30" max="30" width="18.7109375" customWidth="1"/>
    <col min="31" max="31" width="10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</v>
      </c>
      <c r="I1" s="1" t="s">
        <v>7</v>
      </c>
      <c r="J1" s="1" t="s">
        <v>11</v>
      </c>
      <c r="K1" s="1" t="s">
        <v>21</v>
      </c>
      <c r="L1" s="1" t="s">
        <v>20</v>
      </c>
      <c r="M1" s="1" t="s">
        <v>22</v>
      </c>
      <c r="N1" s="1" t="s">
        <v>23</v>
      </c>
      <c r="O1" s="1" t="s">
        <v>24</v>
      </c>
      <c r="P1" s="1" t="s">
        <v>26</v>
      </c>
      <c r="Q1" s="1" t="s">
        <v>27</v>
      </c>
      <c r="R1" s="1" t="s">
        <v>28</v>
      </c>
      <c r="W1" s="21" t="s">
        <v>32</v>
      </c>
    </row>
    <row r="2" spans="1:30" x14ac:dyDescent="0.25">
      <c r="A2" s="7">
        <v>202506</v>
      </c>
      <c r="B2" s="7" t="s">
        <v>8</v>
      </c>
      <c r="C2" s="7" t="s">
        <v>9</v>
      </c>
      <c r="D2" s="7" t="s">
        <v>10</v>
      </c>
      <c r="E2" s="7">
        <v>80450</v>
      </c>
      <c r="F2" s="8">
        <v>10906</v>
      </c>
      <c r="G2" s="9">
        <v>4886</v>
      </c>
      <c r="H2" s="10">
        <f>F2/G2</f>
        <v>2.2320916905444128</v>
      </c>
      <c r="I2" s="10">
        <v>1.4290056637643145</v>
      </c>
      <c r="J2" s="11">
        <v>7.7291319814841008E-4</v>
      </c>
      <c r="K2" s="15">
        <v>220.12001037597656</v>
      </c>
      <c r="L2" s="15"/>
      <c r="M2" s="15">
        <v>0.46758103370666504</v>
      </c>
      <c r="N2" s="15">
        <f>(K2-$S$2)/$S$3</f>
        <v>2.9757508621496047</v>
      </c>
      <c r="O2" s="15">
        <f>VLOOKUP(A2,$T$5:$U$158,2,FALSE)</f>
        <v>220.12001037597656</v>
      </c>
      <c r="P2" s="15">
        <v>0.74980000000000002</v>
      </c>
      <c r="Q2" s="15"/>
      <c r="R2" s="15"/>
      <c r="S2" s="16">
        <f>AVERAGE(K2:K89)</f>
        <v>110.18763602863659</v>
      </c>
      <c r="T2" s="2"/>
      <c r="U2" s="2"/>
      <c r="V2" s="2"/>
      <c r="W2" s="22" t="s">
        <v>33</v>
      </c>
      <c r="X2" s="2"/>
      <c r="Y2" s="2"/>
      <c r="Z2" s="2"/>
      <c r="AA2" s="2"/>
      <c r="AB2" s="6"/>
      <c r="AC2" s="4"/>
      <c r="AD2" s="5"/>
    </row>
    <row r="3" spans="1:30" x14ac:dyDescent="0.25">
      <c r="A3" s="7">
        <v>202505</v>
      </c>
      <c r="B3" s="7" t="s">
        <v>8</v>
      </c>
      <c r="C3" s="7" t="s">
        <v>9</v>
      </c>
      <c r="D3" s="7" t="s">
        <v>10</v>
      </c>
      <c r="E3" s="7">
        <v>80450</v>
      </c>
      <c r="F3" s="8">
        <v>38296</v>
      </c>
      <c r="G3" s="9">
        <v>11698</v>
      </c>
      <c r="H3" s="10">
        <f t="shared" ref="H3:H66" si="0">F3/G3</f>
        <v>3.2737220037613266</v>
      </c>
      <c r="I3" s="10">
        <v>1.5528385692468156</v>
      </c>
      <c r="J3" s="11">
        <v>1.3475160310459306E-3</v>
      </c>
      <c r="K3" s="15">
        <v>165.22462463378906</v>
      </c>
      <c r="L3" s="15"/>
      <c r="M3" s="15">
        <v>0.76241862773895264</v>
      </c>
      <c r="N3" s="15">
        <f t="shared" ref="N3:N66" si="1">(K3-$S$2)/$S$3</f>
        <v>1.4897919494982994</v>
      </c>
      <c r="O3" s="15">
        <f t="shared" ref="O3:O66" si="2">VLOOKUP(A3,$T$5:$U$158,2,FALSE)</f>
        <v>165.22462463378906</v>
      </c>
      <c r="P3" s="15">
        <v>0.82299999999999995</v>
      </c>
      <c r="Q3" s="15"/>
      <c r="R3" s="15"/>
      <c r="S3" s="16">
        <f>_xlfn.STDEV.S(K2:K89)</f>
        <v>36.942734603772472</v>
      </c>
      <c r="T3" s="2"/>
      <c r="U3" s="2"/>
      <c r="V3" s="2"/>
      <c r="W3" s="22" t="s">
        <v>34</v>
      </c>
      <c r="X3" s="2"/>
      <c r="Y3" s="2"/>
      <c r="Z3" s="2"/>
      <c r="AA3" s="2"/>
      <c r="AB3" s="6"/>
      <c r="AC3" s="4"/>
      <c r="AD3" s="5"/>
    </row>
    <row r="4" spans="1:30" x14ac:dyDescent="0.25">
      <c r="A4" s="7">
        <v>202504</v>
      </c>
      <c r="B4" s="7" t="s">
        <v>8</v>
      </c>
      <c r="C4" s="7" t="s">
        <v>9</v>
      </c>
      <c r="D4" s="7" t="s">
        <v>10</v>
      </c>
      <c r="E4" s="7">
        <v>80450</v>
      </c>
      <c r="F4" s="8">
        <v>38615</v>
      </c>
      <c r="G4" s="9">
        <v>44254</v>
      </c>
      <c r="H4" s="10">
        <f t="shared" si="0"/>
        <v>0.87257649026076733</v>
      </c>
      <c r="I4" s="10">
        <v>1.67215069298846</v>
      </c>
      <c r="J4" s="11">
        <v>1.2407354909053591E-3</v>
      </c>
      <c r="K4" s="15">
        <v>140.52890014648438</v>
      </c>
      <c r="L4" s="15"/>
      <c r="M4" s="15">
        <v>0.4251442551612854</v>
      </c>
      <c r="N4" s="15">
        <f t="shared" si="1"/>
        <v>0.82130531059142098</v>
      </c>
      <c r="O4" s="15">
        <f t="shared" si="2"/>
        <v>140.52890014648438</v>
      </c>
      <c r="P4" s="15">
        <v>0.85340000000000005</v>
      </c>
      <c r="Q4" s="15"/>
      <c r="R4" s="15"/>
      <c r="S4" s="16"/>
      <c r="T4" s="2"/>
      <c r="U4" s="2"/>
      <c r="V4" s="2"/>
      <c r="W4" s="2"/>
      <c r="X4" s="2"/>
      <c r="Y4" s="2"/>
      <c r="Z4" s="2"/>
      <c r="AA4" s="2"/>
      <c r="AB4" s="6"/>
      <c r="AC4" s="4"/>
      <c r="AD4" s="5"/>
    </row>
    <row r="5" spans="1:30" x14ac:dyDescent="0.25">
      <c r="A5" s="7">
        <v>202503</v>
      </c>
      <c r="B5" s="7" t="s">
        <v>8</v>
      </c>
      <c r="C5" s="7" t="s">
        <v>9</v>
      </c>
      <c r="D5" s="7" t="s">
        <v>10</v>
      </c>
      <c r="E5" s="7">
        <v>80450</v>
      </c>
      <c r="F5" s="8">
        <v>36406</v>
      </c>
      <c r="G5" s="9">
        <v>42254</v>
      </c>
      <c r="H5" s="10">
        <f t="shared" si="0"/>
        <v>0.86159890187911203</v>
      </c>
      <c r="I5" s="10">
        <v>1.5056713313796344</v>
      </c>
      <c r="J5" s="11">
        <v>2.3445983881868202E-3</v>
      </c>
      <c r="K5" s="15">
        <v>171.87290954589844</v>
      </c>
      <c r="L5" s="15"/>
      <c r="M5" s="15">
        <v>0.24915465712547302</v>
      </c>
      <c r="N5" s="15">
        <f t="shared" si="1"/>
        <v>1.669753854955901</v>
      </c>
      <c r="O5" s="15">
        <f t="shared" si="2"/>
        <v>171.87290954589844</v>
      </c>
      <c r="P5" s="15">
        <v>0.93369999999999997</v>
      </c>
      <c r="Q5" s="15"/>
      <c r="R5" s="15"/>
      <c r="S5" s="16"/>
      <c r="T5">
        <v>201301</v>
      </c>
      <c r="U5" s="18">
        <v>90.657493591308594</v>
      </c>
      <c r="V5" s="2"/>
      <c r="W5" s="2"/>
      <c r="X5" s="2"/>
      <c r="Y5" s="2"/>
      <c r="Z5" s="2"/>
      <c r="AA5" s="2"/>
      <c r="AB5" s="6"/>
      <c r="AC5" s="4"/>
      <c r="AD5" s="5"/>
    </row>
    <row r="6" spans="1:30" x14ac:dyDescent="0.25">
      <c r="A6" s="7">
        <v>202412</v>
      </c>
      <c r="B6" s="7" t="s">
        <v>8</v>
      </c>
      <c r="C6" s="7" t="s">
        <v>9</v>
      </c>
      <c r="D6" s="7" t="s">
        <v>10</v>
      </c>
      <c r="E6" s="7">
        <v>80450</v>
      </c>
      <c r="F6" s="8">
        <v>59559</v>
      </c>
      <c r="G6" s="9">
        <v>49700</v>
      </c>
      <c r="H6" s="10">
        <f t="shared" si="0"/>
        <v>1.1983702213279679</v>
      </c>
      <c r="I6" s="10">
        <v>1.2264705277446424</v>
      </c>
      <c r="J6" s="11">
        <v>5.5486196645227357E-3</v>
      </c>
      <c r="K6" s="15">
        <v>141.9027099609375</v>
      </c>
      <c r="L6" s="15">
        <v>833.3</v>
      </c>
      <c r="M6" s="15">
        <v>0.19472841918468475</v>
      </c>
      <c r="N6" s="15">
        <f t="shared" si="1"/>
        <v>0.85849286124753388</v>
      </c>
      <c r="O6" s="15">
        <f t="shared" si="2"/>
        <v>141.9027099609375</v>
      </c>
      <c r="P6" s="15">
        <v>0.90720000000000001</v>
      </c>
      <c r="Q6" s="15"/>
      <c r="R6" s="15"/>
      <c r="S6" s="16"/>
      <c r="T6">
        <v>201302</v>
      </c>
      <c r="U6" s="18">
        <v>81.59033203125</v>
      </c>
      <c r="V6" s="2"/>
      <c r="W6" s="2"/>
      <c r="X6" s="2"/>
      <c r="Y6" s="2"/>
      <c r="Z6" s="2"/>
      <c r="AA6" s="2"/>
      <c r="AB6" s="6"/>
      <c r="AC6" s="4"/>
      <c r="AD6" s="5"/>
    </row>
    <row r="7" spans="1:30" x14ac:dyDescent="0.25">
      <c r="A7" s="7">
        <v>202411</v>
      </c>
      <c r="B7" s="7" t="s">
        <v>8</v>
      </c>
      <c r="C7" s="7" t="s">
        <v>9</v>
      </c>
      <c r="D7" s="7" t="s">
        <v>10</v>
      </c>
      <c r="E7" s="7">
        <v>80450</v>
      </c>
      <c r="F7" s="8">
        <v>21515</v>
      </c>
      <c r="G7" s="9">
        <v>20806</v>
      </c>
      <c r="H7" s="10">
        <f t="shared" si="0"/>
        <v>1.034076708641738</v>
      </c>
      <c r="I7" s="10">
        <v>1.1506151515959919</v>
      </c>
      <c r="J7" s="11">
        <v>2.2369108484717737E-3</v>
      </c>
      <c r="K7" s="15">
        <v>128.48176574707031</v>
      </c>
      <c r="L7" s="15">
        <v>833.3</v>
      </c>
      <c r="M7" s="15">
        <v>0.18260814249515533</v>
      </c>
      <c r="N7" s="15">
        <f t="shared" si="1"/>
        <v>0.49520236968504183</v>
      </c>
      <c r="O7" s="15">
        <f t="shared" si="2"/>
        <v>128.48176574707031</v>
      </c>
      <c r="P7" s="15">
        <v>0.8296</v>
      </c>
      <c r="Q7" s="15"/>
      <c r="R7" s="15"/>
      <c r="S7" s="16"/>
      <c r="T7">
        <v>201303</v>
      </c>
      <c r="U7" s="18">
        <v>75.896720886230469</v>
      </c>
      <c r="V7" s="2"/>
      <c r="W7" s="2"/>
      <c r="X7" s="2"/>
      <c r="Y7" s="2"/>
      <c r="Z7" s="2"/>
      <c r="AA7" s="2"/>
      <c r="AB7" s="6"/>
      <c r="AC7" s="4"/>
      <c r="AD7" s="5"/>
    </row>
    <row r="8" spans="1:30" x14ac:dyDescent="0.25">
      <c r="A8" s="7">
        <v>202410</v>
      </c>
      <c r="B8" s="7" t="s">
        <v>8</v>
      </c>
      <c r="C8" s="7" t="s">
        <v>9</v>
      </c>
      <c r="D8" s="7" t="s">
        <v>10</v>
      </c>
      <c r="E8" s="7">
        <v>80450</v>
      </c>
      <c r="F8" s="8">
        <v>19406</v>
      </c>
      <c r="G8" s="9">
        <v>7668</v>
      </c>
      <c r="H8" s="10">
        <f t="shared" si="0"/>
        <v>2.5307772561293689</v>
      </c>
      <c r="I8" s="10">
        <v>1.324516762504697</v>
      </c>
      <c r="J8" s="11">
        <v>1.7317842285733867E-3</v>
      </c>
      <c r="K8" s="15">
        <v>130.689208984375</v>
      </c>
      <c r="L8" s="15">
        <v>833.3</v>
      </c>
      <c r="M8" s="15">
        <v>0.26585879921913147</v>
      </c>
      <c r="N8" s="15">
        <f t="shared" si="1"/>
        <v>0.55495547840805637</v>
      </c>
      <c r="O8" s="15">
        <f t="shared" si="2"/>
        <v>130.689208984375</v>
      </c>
      <c r="P8" s="15">
        <v>1</v>
      </c>
      <c r="Q8" s="15"/>
      <c r="R8" s="15"/>
      <c r="S8" s="16"/>
      <c r="T8">
        <v>201304</v>
      </c>
      <c r="U8" s="18">
        <v>95.107872009277344</v>
      </c>
      <c r="V8" s="2"/>
      <c r="W8" s="2"/>
      <c r="X8" s="2"/>
      <c r="Y8" s="2"/>
      <c r="Z8" s="2"/>
      <c r="AA8" s="2"/>
      <c r="AB8" s="6"/>
      <c r="AC8" s="4"/>
      <c r="AD8" s="5"/>
    </row>
    <row r="9" spans="1:30" x14ac:dyDescent="0.25">
      <c r="A9" s="7">
        <v>202409</v>
      </c>
      <c r="B9" s="7" t="s">
        <v>8</v>
      </c>
      <c r="C9" s="7" t="s">
        <v>9</v>
      </c>
      <c r="D9" s="7" t="s">
        <v>10</v>
      </c>
      <c r="E9" s="7">
        <v>80450</v>
      </c>
      <c r="F9" s="8">
        <v>3175</v>
      </c>
      <c r="G9" s="9">
        <v>1224</v>
      </c>
      <c r="H9" s="10">
        <f t="shared" si="0"/>
        <v>2.5939542483660132</v>
      </c>
      <c r="I9" s="10">
        <v>1.4878749011739683</v>
      </c>
      <c r="J9" s="11">
        <v>4.2198388513319538E-4</v>
      </c>
      <c r="K9" s="15">
        <v>130.14187622070313</v>
      </c>
      <c r="L9" s="15">
        <v>833.3</v>
      </c>
      <c r="M9" s="15">
        <v>0.16914969682693481</v>
      </c>
      <c r="N9" s="15">
        <f t="shared" si="1"/>
        <v>0.54013977054175288</v>
      </c>
      <c r="O9" s="15">
        <f t="shared" si="2"/>
        <v>130.14187622070313</v>
      </c>
      <c r="P9" s="15">
        <v>0.158</v>
      </c>
      <c r="Q9" s="15"/>
      <c r="R9" s="15"/>
      <c r="S9" s="16"/>
      <c r="T9">
        <v>201305</v>
      </c>
      <c r="U9" s="18">
        <v>83.717315673828125</v>
      </c>
      <c r="V9" s="2"/>
      <c r="W9" s="2"/>
      <c r="X9" s="2"/>
      <c r="Y9" s="2"/>
      <c r="Z9" s="2"/>
      <c r="AA9" s="2"/>
      <c r="AB9" s="6"/>
      <c r="AC9" s="4"/>
      <c r="AD9" s="5"/>
    </row>
    <row r="10" spans="1:30" x14ac:dyDescent="0.25">
      <c r="A10" s="7">
        <v>202408</v>
      </c>
      <c r="B10" s="7" t="s">
        <v>8</v>
      </c>
      <c r="C10" s="7" t="s">
        <v>9</v>
      </c>
      <c r="D10" s="7" t="s">
        <v>10</v>
      </c>
      <c r="E10" s="7">
        <v>80450</v>
      </c>
      <c r="F10" s="8">
        <v>16263</v>
      </c>
      <c r="G10" s="9">
        <v>6242</v>
      </c>
      <c r="H10" s="10">
        <f t="shared" si="0"/>
        <v>2.6054149311118233</v>
      </c>
      <c r="I10" s="10">
        <v>1.2541432962043835</v>
      </c>
      <c r="J10" s="11">
        <v>1.6740647502675849E-3</v>
      </c>
      <c r="K10" s="15">
        <v>140.76402282714844</v>
      </c>
      <c r="L10" s="15">
        <v>833.3</v>
      </c>
      <c r="M10" s="15">
        <v>0.2278769463300705</v>
      </c>
      <c r="N10" s="15">
        <f t="shared" si="1"/>
        <v>0.82766982808547929</v>
      </c>
      <c r="O10" s="15">
        <f t="shared" si="2"/>
        <v>140.76402282714844</v>
      </c>
      <c r="P10" s="15">
        <v>0.1081</v>
      </c>
      <c r="Q10" s="15"/>
      <c r="R10" s="15"/>
      <c r="S10" s="16"/>
      <c r="T10">
        <v>201306</v>
      </c>
      <c r="U10" s="18">
        <v>82.973007202148438</v>
      </c>
      <c r="V10" s="2"/>
      <c r="W10" s="2"/>
      <c r="X10" s="2"/>
      <c r="Y10" s="2"/>
      <c r="Z10" s="2"/>
      <c r="AA10" s="2"/>
      <c r="AB10" s="6"/>
      <c r="AC10" s="4"/>
      <c r="AD10" s="5"/>
    </row>
    <row r="11" spans="1:30" x14ac:dyDescent="0.25">
      <c r="A11" s="7">
        <v>202407</v>
      </c>
      <c r="B11" s="7" t="s">
        <v>8</v>
      </c>
      <c r="C11" s="7" t="s">
        <v>9</v>
      </c>
      <c r="D11" s="7" t="s">
        <v>10</v>
      </c>
      <c r="E11" s="7">
        <v>80450</v>
      </c>
      <c r="F11" s="8">
        <v>4249</v>
      </c>
      <c r="G11" s="9">
        <v>1323</v>
      </c>
      <c r="H11" s="10">
        <f t="shared" si="0"/>
        <v>3.2116402116402116</v>
      </c>
      <c r="I11" s="10">
        <v>0.97456241577176606</v>
      </c>
      <c r="J11" s="11">
        <v>4.6806613557482188E-4</v>
      </c>
      <c r="K11" s="15">
        <v>92.394874572753906</v>
      </c>
      <c r="L11" s="15">
        <v>833.3</v>
      </c>
      <c r="M11" s="15">
        <v>0.16011823713779449</v>
      </c>
      <c r="N11" s="15">
        <f t="shared" si="1"/>
        <v>-0.48163087131253529</v>
      </c>
      <c r="O11" s="15">
        <f t="shared" si="2"/>
        <v>92.394874572753906</v>
      </c>
      <c r="P11" s="15">
        <v>4.1000000000000003E-3</v>
      </c>
      <c r="Q11" s="15"/>
      <c r="R11" s="15"/>
      <c r="S11" s="16"/>
      <c r="T11">
        <v>201307</v>
      </c>
      <c r="U11" s="18">
        <v>73.975814819335938</v>
      </c>
      <c r="V11" s="2"/>
      <c r="W11" s="2"/>
      <c r="X11" s="2"/>
      <c r="Y11" s="2"/>
      <c r="Z11" s="2"/>
      <c r="AA11" s="2"/>
      <c r="AB11" s="6"/>
      <c r="AC11" s="4"/>
      <c r="AD11" s="5"/>
    </row>
    <row r="12" spans="1:30" x14ac:dyDescent="0.25">
      <c r="A12" s="7">
        <v>202406</v>
      </c>
      <c r="B12" s="7" t="s">
        <v>8</v>
      </c>
      <c r="C12" s="7" t="s">
        <v>9</v>
      </c>
      <c r="D12" s="7" t="s">
        <v>10</v>
      </c>
      <c r="E12" s="7">
        <v>80450</v>
      </c>
      <c r="F12" s="8">
        <v>6520</v>
      </c>
      <c r="G12" s="9">
        <v>2009</v>
      </c>
      <c r="H12" s="10">
        <f t="shared" si="0"/>
        <v>3.2453957192633149</v>
      </c>
      <c r="I12" s="10">
        <v>1.6192706135885626</v>
      </c>
      <c r="J12" s="11">
        <v>4.5326100437077083E-4</v>
      </c>
      <c r="K12" s="15">
        <v>112.88140869140625</v>
      </c>
      <c r="L12" s="15">
        <v>833.3</v>
      </c>
      <c r="M12" s="15">
        <v>0.19021050631999969</v>
      </c>
      <c r="N12" s="15">
        <f t="shared" si="1"/>
        <v>7.2917521988060438E-2</v>
      </c>
      <c r="O12" s="15">
        <f t="shared" si="2"/>
        <v>112.88140869140625</v>
      </c>
      <c r="P12" s="15">
        <v>0.49130000000000001</v>
      </c>
      <c r="Q12" s="15"/>
      <c r="R12" s="15"/>
      <c r="S12" s="16"/>
      <c r="T12">
        <v>201308</v>
      </c>
      <c r="U12" s="18">
        <v>90.956748962402344</v>
      </c>
      <c r="V12" s="2"/>
      <c r="W12" s="2"/>
      <c r="X12" s="2"/>
      <c r="Y12" s="2"/>
      <c r="Z12" s="2"/>
      <c r="AA12" s="2"/>
      <c r="AB12" s="6"/>
      <c r="AC12" s="4"/>
      <c r="AD12" s="5"/>
    </row>
    <row r="13" spans="1:30" x14ac:dyDescent="0.25">
      <c r="A13" s="7">
        <v>202405</v>
      </c>
      <c r="B13" s="7" t="s">
        <v>8</v>
      </c>
      <c r="C13" s="7" t="s">
        <v>9</v>
      </c>
      <c r="D13" s="7" t="s">
        <v>10</v>
      </c>
      <c r="E13" s="7">
        <v>80450</v>
      </c>
      <c r="F13" s="8">
        <v>16333</v>
      </c>
      <c r="G13" s="9">
        <v>5636</v>
      </c>
      <c r="H13" s="10">
        <f t="shared" si="0"/>
        <v>2.8979772888573456</v>
      </c>
      <c r="I13" s="10">
        <v>1.7477124868596796</v>
      </c>
      <c r="J13" s="11">
        <v>5.588850003006064E-4</v>
      </c>
      <c r="K13" s="15">
        <v>130.52186584472656</v>
      </c>
      <c r="L13" s="15">
        <v>833.3</v>
      </c>
      <c r="M13" s="15">
        <v>0.13457304239273071</v>
      </c>
      <c r="N13" s="15">
        <f t="shared" si="1"/>
        <v>0.55042568002027403</v>
      </c>
      <c r="O13" s="15">
        <f t="shared" si="2"/>
        <v>130.52186584472656</v>
      </c>
      <c r="P13" s="15">
        <v>0.67620000000000002</v>
      </c>
      <c r="Q13" s="15"/>
      <c r="R13" s="15"/>
      <c r="S13" s="16"/>
      <c r="T13">
        <v>201309</v>
      </c>
      <c r="U13" s="18">
        <v>100.45932769775391</v>
      </c>
      <c r="V13" s="2"/>
      <c r="W13" s="2"/>
      <c r="X13" s="2"/>
      <c r="Y13" s="2"/>
      <c r="Z13" s="2"/>
      <c r="AA13" s="2"/>
      <c r="AB13" s="6"/>
      <c r="AC13" s="4"/>
      <c r="AD13" s="5"/>
    </row>
    <row r="14" spans="1:30" x14ac:dyDescent="0.25">
      <c r="A14" s="7">
        <v>202311</v>
      </c>
      <c r="B14" s="7" t="s">
        <v>8</v>
      </c>
      <c r="C14" s="7" t="s">
        <v>9</v>
      </c>
      <c r="D14" s="7" t="s">
        <v>10</v>
      </c>
      <c r="E14" s="7">
        <v>80450</v>
      </c>
      <c r="F14" s="8">
        <v>6290</v>
      </c>
      <c r="G14" s="9">
        <v>2550</v>
      </c>
      <c r="H14" s="10">
        <f t="shared" si="0"/>
        <v>2.4666666666666668</v>
      </c>
      <c r="I14" s="10">
        <v>1.2431353759588117</v>
      </c>
      <c r="J14" s="11">
        <v>1.4863876196435693E-3</v>
      </c>
      <c r="K14" s="15">
        <v>156.69613647460938</v>
      </c>
      <c r="L14" s="15">
        <v>825.6</v>
      </c>
      <c r="M14" s="15">
        <v>0.25032857060432434</v>
      </c>
      <c r="N14" s="15">
        <f t="shared" si="1"/>
        <v>1.2589349690757188</v>
      </c>
      <c r="O14" s="15">
        <f t="shared" si="2"/>
        <v>156.69613647460938</v>
      </c>
      <c r="P14" s="15">
        <v>0.77100000000000002</v>
      </c>
      <c r="Q14" s="15">
        <v>0.78</v>
      </c>
      <c r="R14" s="15">
        <v>-0.64</v>
      </c>
      <c r="S14" s="16"/>
      <c r="T14">
        <v>201310</v>
      </c>
      <c r="U14" s="18">
        <v>72.953117370605469</v>
      </c>
      <c r="V14" s="2"/>
      <c r="W14" s="2"/>
      <c r="X14" s="2"/>
      <c r="Y14" s="2"/>
      <c r="Z14" s="2"/>
      <c r="AA14" s="2"/>
      <c r="AB14" s="6"/>
      <c r="AC14" s="4"/>
      <c r="AD14" s="5"/>
    </row>
    <row r="15" spans="1:30" x14ac:dyDescent="0.25">
      <c r="A15" s="7">
        <v>202310</v>
      </c>
      <c r="B15" s="7" t="s">
        <v>8</v>
      </c>
      <c r="C15" s="7" t="s">
        <v>9</v>
      </c>
      <c r="D15" s="7" t="s">
        <v>10</v>
      </c>
      <c r="E15" s="7">
        <v>80450</v>
      </c>
      <c r="F15" s="8">
        <v>3177</v>
      </c>
      <c r="G15" s="9">
        <v>1224</v>
      </c>
      <c r="H15" s="10">
        <f t="shared" si="0"/>
        <v>2.5955882352941178</v>
      </c>
      <c r="I15" s="10">
        <v>1.2663608343959361</v>
      </c>
      <c r="J15" s="11">
        <v>4.1250584772808214E-4</v>
      </c>
      <c r="K15" s="15">
        <v>197.88700866699219</v>
      </c>
      <c r="L15" s="15">
        <v>825.6</v>
      </c>
      <c r="M15" s="15">
        <v>0.22093509137630463</v>
      </c>
      <c r="N15" s="15">
        <f t="shared" si="1"/>
        <v>2.3739274739396259</v>
      </c>
      <c r="O15" s="15">
        <f t="shared" si="2"/>
        <v>197.88700866699219</v>
      </c>
      <c r="P15" s="15">
        <v>0.40670000000000001</v>
      </c>
      <c r="Q15" s="15">
        <v>0.78</v>
      </c>
      <c r="R15" s="15">
        <v>-0.64</v>
      </c>
      <c r="S15" s="16"/>
      <c r="T15">
        <v>201311</v>
      </c>
      <c r="U15" s="18">
        <v>77.779022216796875</v>
      </c>
      <c r="V15" s="2"/>
      <c r="W15" s="2"/>
      <c r="X15" s="2"/>
      <c r="Y15" s="2"/>
      <c r="Z15" s="2"/>
      <c r="AA15" s="2"/>
      <c r="AB15" s="6"/>
      <c r="AC15" s="4"/>
      <c r="AD15" s="5"/>
    </row>
    <row r="16" spans="1:30" x14ac:dyDescent="0.25">
      <c r="A16" s="7">
        <v>202309</v>
      </c>
      <c r="B16" s="7" t="s">
        <v>8</v>
      </c>
      <c r="C16" s="7" t="s">
        <v>9</v>
      </c>
      <c r="D16" s="7" t="s">
        <v>10</v>
      </c>
      <c r="E16" s="7">
        <v>80450</v>
      </c>
      <c r="F16" s="8">
        <v>2504</v>
      </c>
      <c r="G16" s="9">
        <v>1071</v>
      </c>
      <c r="H16" s="10">
        <f t="shared" si="0"/>
        <v>2.3380018674136323</v>
      </c>
      <c r="I16" s="10">
        <v>1.1297711338462666</v>
      </c>
      <c r="J16" s="11">
        <v>2.8526419064032696E-4</v>
      </c>
      <c r="K16" s="15">
        <v>98.634811401367188</v>
      </c>
      <c r="L16" s="15">
        <v>825.6</v>
      </c>
      <c r="M16" s="15">
        <v>0.45979791879653931</v>
      </c>
      <c r="N16" s="15">
        <f t="shared" si="1"/>
        <v>-0.31272250825984238</v>
      </c>
      <c r="O16" s="15">
        <f t="shared" si="2"/>
        <v>98.634811401367188</v>
      </c>
      <c r="P16" s="15">
        <v>7.8E-2</v>
      </c>
      <c r="Q16" s="15">
        <v>0.78</v>
      </c>
      <c r="R16" s="15">
        <v>-0.64</v>
      </c>
      <c r="S16" s="16"/>
      <c r="T16">
        <v>201312</v>
      </c>
      <c r="U16" s="18">
        <v>70.372489929199219</v>
      </c>
      <c r="V16" s="2"/>
      <c r="W16" s="2"/>
      <c r="X16" s="2"/>
      <c r="Y16" s="2"/>
      <c r="Z16" s="2"/>
      <c r="AA16" s="2"/>
      <c r="AB16" s="6"/>
      <c r="AC16" s="4"/>
      <c r="AD16" s="5"/>
    </row>
    <row r="17" spans="1:30" x14ac:dyDescent="0.25">
      <c r="A17" s="7">
        <v>202307</v>
      </c>
      <c r="B17" s="7" t="s">
        <v>8</v>
      </c>
      <c r="C17" s="7" t="s">
        <v>9</v>
      </c>
      <c r="D17" s="7" t="s">
        <v>10</v>
      </c>
      <c r="E17" s="7">
        <v>80450</v>
      </c>
      <c r="F17" s="8">
        <v>4317</v>
      </c>
      <c r="G17" s="9">
        <v>1134</v>
      </c>
      <c r="H17" s="10">
        <f t="shared" si="0"/>
        <v>3.806878306878307</v>
      </c>
      <c r="I17" s="10">
        <v>1.0581756376544122</v>
      </c>
      <c r="J17" s="11">
        <v>2.8265037399286571E-4</v>
      </c>
      <c r="K17" s="15">
        <v>107.44878387451172</v>
      </c>
      <c r="L17" s="15">
        <v>825.6</v>
      </c>
      <c r="M17" s="15">
        <v>0.21112766861915588</v>
      </c>
      <c r="N17" s="15">
        <f t="shared" si="1"/>
        <v>-7.4137775221577343E-2</v>
      </c>
      <c r="O17" s="15">
        <f t="shared" si="2"/>
        <v>107.44878387451172</v>
      </c>
      <c r="P17" s="15">
        <v>9.5699999999999993E-2</v>
      </c>
      <c r="Q17" s="15">
        <v>0.78</v>
      </c>
      <c r="R17" s="15">
        <v>-0.64</v>
      </c>
      <c r="S17" s="16"/>
      <c r="T17">
        <v>201401</v>
      </c>
      <c r="U17" s="18">
        <v>77.915969848632813</v>
      </c>
      <c r="V17" s="2"/>
      <c r="W17" s="2"/>
      <c r="X17" s="2"/>
      <c r="Y17" s="2"/>
      <c r="Z17" s="2"/>
      <c r="AA17" s="2"/>
      <c r="AB17" s="6"/>
      <c r="AC17" s="4"/>
      <c r="AD17" s="5"/>
    </row>
    <row r="18" spans="1:30" x14ac:dyDescent="0.25">
      <c r="A18" s="7">
        <v>202306</v>
      </c>
      <c r="B18" s="7" t="s">
        <v>8</v>
      </c>
      <c r="C18" s="7" t="s">
        <v>9</v>
      </c>
      <c r="D18" s="7" t="s">
        <v>10</v>
      </c>
      <c r="E18" s="7">
        <v>80450</v>
      </c>
      <c r="F18" s="8">
        <v>12727</v>
      </c>
      <c r="G18" s="9">
        <v>3355</v>
      </c>
      <c r="H18" s="10">
        <f t="shared" si="0"/>
        <v>3.7934426229508196</v>
      </c>
      <c r="I18" s="10">
        <v>1.5452009942240343</v>
      </c>
      <c r="J18" s="11">
        <v>7.1689037548055797E-4</v>
      </c>
      <c r="K18" s="15">
        <v>110.52894592285156</v>
      </c>
      <c r="L18" s="15">
        <v>825.6</v>
      </c>
      <c r="M18" s="15">
        <v>0.26301303505897522</v>
      </c>
      <c r="N18" s="15">
        <f t="shared" si="1"/>
        <v>9.2388908908795173E-3</v>
      </c>
      <c r="O18" s="15">
        <f t="shared" si="2"/>
        <v>110.52894592285156</v>
      </c>
      <c r="P18" s="15">
        <v>0.61199999999999999</v>
      </c>
      <c r="Q18" s="15">
        <v>0.78</v>
      </c>
      <c r="R18" s="15">
        <v>-0.64</v>
      </c>
      <c r="S18" s="16"/>
      <c r="T18">
        <v>201402</v>
      </c>
      <c r="U18" s="18">
        <v>69.003524780273438</v>
      </c>
      <c r="V18" s="2"/>
      <c r="W18" s="2"/>
      <c r="X18" s="2"/>
      <c r="Y18" s="2"/>
      <c r="Z18" s="2"/>
      <c r="AA18" s="2"/>
      <c r="AB18" s="6"/>
      <c r="AC18" s="4"/>
      <c r="AD18" s="5"/>
    </row>
    <row r="19" spans="1:30" x14ac:dyDescent="0.25">
      <c r="A19" s="7">
        <v>202305</v>
      </c>
      <c r="B19" s="7" t="s">
        <v>8</v>
      </c>
      <c r="C19" s="7" t="s">
        <v>9</v>
      </c>
      <c r="D19" s="7" t="s">
        <v>10</v>
      </c>
      <c r="E19" s="7">
        <v>80450</v>
      </c>
      <c r="F19" s="8">
        <v>25971</v>
      </c>
      <c r="G19" s="9">
        <v>6124</v>
      </c>
      <c r="H19" s="10">
        <f t="shared" si="0"/>
        <v>4.2408556499020245</v>
      </c>
      <c r="I19" s="10">
        <v>1.6160682041160335</v>
      </c>
      <c r="J19" s="11">
        <v>9.7985463244755163E-4</v>
      </c>
      <c r="K19" s="15">
        <v>108.46768188476563</v>
      </c>
      <c r="L19" s="15">
        <v>825.6</v>
      </c>
      <c r="M19" s="15">
        <v>0.31503695249557495</v>
      </c>
      <c r="N19" s="15">
        <f t="shared" si="1"/>
        <v>-4.6557304496222335E-2</v>
      </c>
      <c r="O19" s="15">
        <f t="shared" si="2"/>
        <v>108.46768188476563</v>
      </c>
      <c r="P19" s="15">
        <v>1</v>
      </c>
      <c r="Q19" s="15">
        <v>0.78</v>
      </c>
      <c r="R19" s="15">
        <v>-0.64</v>
      </c>
      <c r="S19" s="16"/>
      <c r="T19">
        <v>201403</v>
      </c>
      <c r="U19" s="18">
        <v>119.83855438232422</v>
      </c>
      <c r="V19" s="2"/>
      <c r="W19" s="2"/>
      <c r="X19" s="2"/>
      <c r="Y19" s="2"/>
      <c r="Z19" s="2"/>
      <c r="AA19" s="2"/>
      <c r="AB19" s="6"/>
      <c r="AC19" s="4"/>
      <c r="AD19" s="5"/>
    </row>
    <row r="20" spans="1:30" x14ac:dyDescent="0.25">
      <c r="A20" s="7">
        <v>202304</v>
      </c>
      <c r="B20" s="7" t="s">
        <v>8</v>
      </c>
      <c r="C20" s="7" t="s">
        <v>9</v>
      </c>
      <c r="D20" s="7" t="s">
        <v>10</v>
      </c>
      <c r="E20" s="7">
        <v>80450</v>
      </c>
      <c r="F20" s="8">
        <v>421</v>
      </c>
      <c r="G20" s="12">
        <v>148</v>
      </c>
      <c r="H20" s="10">
        <f t="shared" si="0"/>
        <v>2.8445945945945947</v>
      </c>
      <c r="I20" s="10">
        <v>1.7850798991145389</v>
      </c>
      <c r="J20" s="11">
        <v>2.225744526082686E-5</v>
      </c>
      <c r="K20" s="15">
        <v>106.80965423583984</v>
      </c>
      <c r="L20" s="15">
        <v>825.6</v>
      </c>
      <c r="M20" s="15">
        <v>0.24643319845199585</v>
      </c>
      <c r="N20" s="15">
        <f t="shared" si="1"/>
        <v>-9.1438325533481135E-2</v>
      </c>
      <c r="O20" s="15">
        <f t="shared" si="2"/>
        <v>106.80965423583984</v>
      </c>
      <c r="P20" s="15">
        <v>0.10390000000000001</v>
      </c>
      <c r="Q20" s="15">
        <v>0.78</v>
      </c>
      <c r="R20" s="15">
        <v>-0.64</v>
      </c>
      <c r="S20" s="16"/>
      <c r="T20">
        <v>201404</v>
      </c>
      <c r="U20" s="18">
        <v>93.221542358398438</v>
      </c>
      <c r="V20" s="2"/>
      <c r="W20" s="2"/>
      <c r="X20" s="2"/>
      <c r="Y20" s="2"/>
      <c r="Z20" s="2"/>
      <c r="AA20" s="2"/>
      <c r="AB20" s="6"/>
      <c r="AC20" s="3"/>
      <c r="AD20" s="5"/>
    </row>
    <row r="21" spans="1:30" x14ac:dyDescent="0.25">
      <c r="A21" s="7">
        <v>202303</v>
      </c>
      <c r="B21" s="7" t="s">
        <v>8</v>
      </c>
      <c r="C21" s="7" t="s">
        <v>9</v>
      </c>
      <c r="D21" s="7" t="s">
        <v>10</v>
      </c>
      <c r="E21" s="7">
        <v>80450</v>
      </c>
      <c r="F21" s="8">
        <v>3986</v>
      </c>
      <c r="G21" s="9">
        <v>1530</v>
      </c>
      <c r="H21" s="10">
        <f t="shared" si="0"/>
        <v>2.6052287581699347</v>
      </c>
      <c r="I21" s="10">
        <v>1.6928368476457547</v>
      </c>
      <c r="J21" s="11">
        <v>2.438945890767776E-4</v>
      </c>
      <c r="K21" s="15">
        <v>105.37997436523438</v>
      </c>
      <c r="L21" s="15">
        <v>825.6</v>
      </c>
      <c r="M21" s="15">
        <v>0.30663993954658508</v>
      </c>
      <c r="N21" s="15">
        <f t="shared" si="1"/>
        <v>-0.1301382183795152</v>
      </c>
      <c r="O21" s="15">
        <f t="shared" si="2"/>
        <v>105.37997436523438</v>
      </c>
      <c r="P21" s="15">
        <v>0.75090000000000001</v>
      </c>
      <c r="Q21" s="15">
        <v>0.78</v>
      </c>
      <c r="R21" s="15">
        <v>-0.64</v>
      </c>
      <c r="S21" s="16"/>
      <c r="T21">
        <v>201405</v>
      </c>
      <c r="U21" s="18">
        <v>83.428855895996094</v>
      </c>
      <c r="V21" s="2"/>
      <c r="W21" s="2"/>
      <c r="X21" s="2"/>
      <c r="Y21" s="2"/>
      <c r="Z21" s="2"/>
      <c r="AA21" s="2"/>
      <c r="AB21" s="6"/>
      <c r="AC21" s="4"/>
      <c r="AD21" s="5"/>
    </row>
    <row r="22" spans="1:30" x14ac:dyDescent="0.25">
      <c r="A22" s="7">
        <v>202302</v>
      </c>
      <c r="B22" s="7" t="s">
        <v>8</v>
      </c>
      <c r="C22" s="7" t="s">
        <v>9</v>
      </c>
      <c r="D22" s="7" t="s">
        <v>10</v>
      </c>
      <c r="E22" s="7">
        <v>80450</v>
      </c>
      <c r="F22" s="8">
        <v>17032</v>
      </c>
      <c r="G22" s="9">
        <v>5584</v>
      </c>
      <c r="H22" s="10">
        <f t="shared" si="0"/>
        <v>3.0501432664756445</v>
      </c>
      <c r="I22" s="10">
        <v>1.3625964873870238</v>
      </c>
      <c r="J22" s="11">
        <v>1.7104201967766534E-3</v>
      </c>
      <c r="K22" s="15">
        <v>120.99437713623047</v>
      </c>
      <c r="L22" s="15">
        <v>825.6</v>
      </c>
      <c r="M22" s="15">
        <v>0.29352903366088867</v>
      </c>
      <c r="N22" s="15">
        <f t="shared" si="1"/>
        <v>0.29252683168966953</v>
      </c>
      <c r="O22" s="15">
        <f t="shared" si="2"/>
        <v>120.99437713623047</v>
      </c>
      <c r="P22" s="15">
        <v>0.88739999999999997</v>
      </c>
      <c r="Q22" s="15">
        <v>0.78</v>
      </c>
      <c r="R22" s="15">
        <v>-0.64</v>
      </c>
      <c r="S22" s="16"/>
      <c r="T22">
        <v>201406</v>
      </c>
      <c r="U22" s="18">
        <v>98.767105102539063</v>
      </c>
      <c r="V22" s="2"/>
      <c r="W22" s="2"/>
      <c r="X22" s="2"/>
      <c r="Y22" s="2"/>
      <c r="Z22" s="2"/>
      <c r="AA22" s="2"/>
      <c r="AB22" s="6"/>
      <c r="AC22" s="4"/>
      <c r="AD22" s="5"/>
    </row>
    <row r="23" spans="1:30" x14ac:dyDescent="0.25">
      <c r="A23" s="7">
        <v>202211</v>
      </c>
      <c r="B23" s="7" t="s">
        <v>8</v>
      </c>
      <c r="C23" s="7" t="s">
        <v>9</v>
      </c>
      <c r="D23" s="7" t="s">
        <v>10</v>
      </c>
      <c r="E23" s="7">
        <v>80450</v>
      </c>
      <c r="F23" s="8">
        <v>4549</v>
      </c>
      <c r="G23" s="9">
        <v>1841</v>
      </c>
      <c r="H23" s="10">
        <f t="shared" si="0"/>
        <v>2.4709397066811514</v>
      </c>
      <c r="I23" s="10">
        <v>1.3706627120642716</v>
      </c>
      <c r="J23" s="11">
        <v>2.8359254714546863E-4</v>
      </c>
      <c r="K23" s="15">
        <v>116.71628570556641</v>
      </c>
      <c r="L23" s="15">
        <v>843.6</v>
      </c>
      <c r="M23" s="15">
        <v>0.29648211598396301</v>
      </c>
      <c r="N23" s="15">
        <f t="shared" si="1"/>
        <v>0.17672350861279046</v>
      </c>
      <c r="O23" s="15">
        <f t="shared" si="2"/>
        <v>116.71628570556641</v>
      </c>
      <c r="P23" s="15">
        <v>0.90920000000000001</v>
      </c>
      <c r="Q23" s="15">
        <v>0.83</v>
      </c>
      <c r="R23" s="15">
        <v>-0.62</v>
      </c>
      <c r="S23" s="16"/>
      <c r="T23">
        <v>201407</v>
      </c>
      <c r="U23" s="18">
        <v>138.75395202636719</v>
      </c>
      <c r="V23" s="2"/>
      <c r="W23" s="2"/>
      <c r="X23" s="2"/>
      <c r="Y23" s="2"/>
      <c r="Z23" s="2"/>
      <c r="AA23" s="2"/>
      <c r="AB23" s="6"/>
      <c r="AC23" s="4"/>
      <c r="AD23" s="5"/>
    </row>
    <row r="24" spans="1:30" x14ac:dyDescent="0.25">
      <c r="A24" s="7">
        <v>202210</v>
      </c>
      <c r="B24" s="7" t="s">
        <v>8</v>
      </c>
      <c r="C24" s="7" t="s">
        <v>9</v>
      </c>
      <c r="D24" s="7" t="s">
        <v>10</v>
      </c>
      <c r="E24" s="7">
        <v>80450</v>
      </c>
      <c r="F24" s="8">
        <v>23</v>
      </c>
      <c r="G24" s="12">
        <v>9</v>
      </c>
      <c r="H24" s="10">
        <f t="shared" si="0"/>
        <v>2.5555555555555554</v>
      </c>
      <c r="I24" s="10">
        <v>1.3232738622972526</v>
      </c>
      <c r="J24" s="11">
        <v>1.3518735144820331E-6</v>
      </c>
      <c r="K24" s="15">
        <v>143.16241455078125</v>
      </c>
      <c r="L24" s="15">
        <v>843.6</v>
      </c>
      <c r="M24" s="15">
        <v>0.30671361088752747</v>
      </c>
      <c r="N24" s="15">
        <f t="shared" si="1"/>
        <v>0.89259170648340103</v>
      </c>
      <c r="O24" s="15">
        <f t="shared" si="2"/>
        <v>143.16241455078125</v>
      </c>
      <c r="P24" s="15">
        <v>1.5E-3</v>
      </c>
      <c r="Q24" s="15">
        <v>0.83</v>
      </c>
      <c r="R24" s="15">
        <v>-0.62</v>
      </c>
      <c r="S24" s="16"/>
      <c r="T24">
        <v>201408</v>
      </c>
      <c r="U24" s="18">
        <v>136.44558715820313</v>
      </c>
      <c r="V24" s="2"/>
      <c r="W24" s="2"/>
      <c r="X24" s="2"/>
      <c r="Y24" s="2"/>
      <c r="Z24" s="2"/>
      <c r="AA24" s="2"/>
      <c r="AB24" s="6"/>
      <c r="AC24" s="4"/>
      <c r="AD24" s="5"/>
    </row>
    <row r="25" spans="1:30" x14ac:dyDescent="0.25">
      <c r="A25" s="7">
        <v>202209</v>
      </c>
      <c r="B25" s="7" t="s">
        <v>8</v>
      </c>
      <c r="C25" s="7" t="s">
        <v>9</v>
      </c>
      <c r="D25" s="7" t="s">
        <v>10</v>
      </c>
      <c r="E25" s="7">
        <v>80450</v>
      </c>
      <c r="F25" s="8">
        <v>39448</v>
      </c>
      <c r="G25" s="9">
        <v>22780</v>
      </c>
      <c r="H25" s="10">
        <f t="shared" si="0"/>
        <v>1.731694468832309</v>
      </c>
      <c r="I25" s="10">
        <v>1.3487114818036277</v>
      </c>
      <c r="J25" s="11">
        <v>1.5017902856919222E-3</v>
      </c>
      <c r="K25" s="15">
        <v>131.98587036132813</v>
      </c>
      <c r="L25" s="15">
        <v>843.6</v>
      </c>
      <c r="M25" s="15">
        <v>0.50662738084793091</v>
      </c>
      <c r="N25" s="15">
        <f t="shared" si="1"/>
        <v>0.59005470403010096</v>
      </c>
      <c r="O25" s="15">
        <f t="shared" si="2"/>
        <v>131.98587036132813</v>
      </c>
      <c r="P25" s="15">
        <v>0.84560000000000002</v>
      </c>
      <c r="Q25" s="15">
        <v>0.83</v>
      </c>
      <c r="R25" s="15">
        <v>-0.62</v>
      </c>
      <c r="S25" s="16"/>
      <c r="T25">
        <v>201409</v>
      </c>
      <c r="U25" s="18">
        <v>131.55665588378906</v>
      </c>
      <c r="V25" s="2"/>
      <c r="W25" s="2"/>
      <c r="X25" s="2"/>
      <c r="Y25" s="2"/>
      <c r="Z25" s="2"/>
      <c r="AA25" s="2"/>
      <c r="AB25" s="6"/>
      <c r="AC25" s="4"/>
      <c r="AD25" s="5"/>
    </row>
    <row r="26" spans="1:30" x14ac:dyDescent="0.25">
      <c r="A26" s="7">
        <v>202208</v>
      </c>
      <c r="B26" s="7" t="s">
        <v>8</v>
      </c>
      <c r="C26" s="7" t="s">
        <v>9</v>
      </c>
      <c r="D26" s="7" t="s">
        <v>10</v>
      </c>
      <c r="E26" s="7">
        <v>80450</v>
      </c>
      <c r="F26" s="8">
        <v>30950</v>
      </c>
      <c r="G26" s="9">
        <v>24510</v>
      </c>
      <c r="H26" s="10">
        <f t="shared" si="0"/>
        <v>1.2627498980008161</v>
      </c>
      <c r="I26" s="10">
        <v>1.2977325009604068</v>
      </c>
      <c r="J26" s="11">
        <v>1.1196393422815247E-3</v>
      </c>
      <c r="K26" s="15">
        <v>132.86322021484375</v>
      </c>
      <c r="L26" s="15">
        <v>843.6</v>
      </c>
      <c r="M26" s="15">
        <v>0.24869729578495026</v>
      </c>
      <c r="N26" s="15">
        <f t="shared" si="1"/>
        <v>0.61380361874704326</v>
      </c>
      <c r="O26" s="15">
        <f t="shared" si="2"/>
        <v>132.86322021484375</v>
      </c>
      <c r="P26" s="15">
        <v>0.52600000000000002</v>
      </c>
      <c r="Q26" s="15">
        <v>0.83</v>
      </c>
      <c r="R26" s="15">
        <v>-0.62</v>
      </c>
      <c r="S26" s="16"/>
      <c r="T26">
        <v>201410</v>
      </c>
      <c r="U26" s="18">
        <v>83.661003112792969</v>
      </c>
      <c r="V26" s="2"/>
      <c r="W26" s="2"/>
      <c r="X26" s="2"/>
      <c r="Y26" s="2"/>
      <c r="Z26" s="2"/>
      <c r="AA26" s="2"/>
      <c r="AB26" s="6"/>
      <c r="AC26" s="4"/>
      <c r="AD26" s="5"/>
    </row>
    <row r="27" spans="1:30" x14ac:dyDescent="0.25">
      <c r="A27" s="7">
        <v>202207</v>
      </c>
      <c r="B27" s="7" t="s">
        <v>8</v>
      </c>
      <c r="C27" s="7" t="s">
        <v>9</v>
      </c>
      <c r="D27" s="7" t="s">
        <v>10</v>
      </c>
      <c r="E27" s="7">
        <v>80450</v>
      </c>
      <c r="F27" s="8">
        <v>30555</v>
      </c>
      <c r="G27" s="9">
        <v>22575</v>
      </c>
      <c r="H27" s="10">
        <f t="shared" si="0"/>
        <v>1.3534883720930233</v>
      </c>
      <c r="I27" s="10">
        <v>1.1014206687475789</v>
      </c>
      <c r="J27" s="11">
        <v>1.4956605285763676E-3</v>
      </c>
      <c r="K27" s="15">
        <v>117.17676544189453</v>
      </c>
      <c r="L27" s="15">
        <v>843.6</v>
      </c>
      <c r="M27" s="15">
        <v>0.27303358912467957</v>
      </c>
      <c r="N27" s="15">
        <f t="shared" si="1"/>
        <v>0.18918819865988573</v>
      </c>
      <c r="O27" s="15">
        <f t="shared" si="2"/>
        <v>117.17676544189453</v>
      </c>
      <c r="P27" s="15">
        <v>0.9123</v>
      </c>
      <c r="Q27" s="15">
        <v>0.83</v>
      </c>
      <c r="R27" s="15">
        <v>-0.62</v>
      </c>
      <c r="S27" s="16"/>
      <c r="T27">
        <v>201411</v>
      </c>
      <c r="U27" s="18">
        <v>84.380050659179688</v>
      </c>
      <c r="V27" s="2"/>
      <c r="W27" s="2"/>
      <c r="X27" s="2"/>
      <c r="Y27" s="2"/>
      <c r="Z27" s="2"/>
      <c r="AA27" s="2"/>
      <c r="AB27" s="6"/>
      <c r="AC27" s="4"/>
      <c r="AD27" s="5"/>
    </row>
    <row r="28" spans="1:30" x14ac:dyDescent="0.25">
      <c r="A28" s="7">
        <v>202206</v>
      </c>
      <c r="B28" s="7" t="s">
        <v>8</v>
      </c>
      <c r="C28" s="7" t="s">
        <v>9</v>
      </c>
      <c r="D28" s="7" t="s">
        <v>10</v>
      </c>
      <c r="E28" s="7">
        <v>80450</v>
      </c>
      <c r="F28" s="8">
        <v>12522</v>
      </c>
      <c r="G28" s="9">
        <v>9956</v>
      </c>
      <c r="H28" s="10">
        <f t="shared" si="0"/>
        <v>1.2577340297308155</v>
      </c>
      <c r="I28" s="10">
        <v>1.2150251758477455</v>
      </c>
      <c r="J28" s="11">
        <v>7.0520150026240911E-4</v>
      </c>
      <c r="K28" s="15">
        <v>130.70732116699219</v>
      </c>
      <c r="L28" s="15">
        <v>843.6</v>
      </c>
      <c r="M28" s="15">
        <v>0.37673652172088623</v>
      </c>
      <c r="N28" s="15">
        <f t="shared" si="1"/>
        <v>0.55544575566585686</v>
      </c>
      <c r="O28" s="15">
        <f t="shared" si="2"/>
        <v>130.70732116699219</v>
      </c>
      <c r="P28" s="15">
        <v>0.72089999999999999</v>
      </c>
      <c r="Q28" s="15">
        <v>0.83</v>
      </c>
      <c r="R28" s="15">
        <v>-0.62</v>
      </c>
      <c r="S28" s="16"/>
      <c r="T28">
        <v>201412</v>
      </c>
      <c r="U28" s="18">
        <v>86.526222229003906</v>
      </c>
      <c r="V28" s="2"/>
      <c r="W28" s="2"/>
      <c r="X28" s="2"/>
      <c r="Y28" s="2"/>
      <c r="Z28" s="2"/>
      <c r="AA28" s="2"/>
      <c r="AB28" s="6"/>
      <c r="AC28" s="4"/>
      <c r="AD28" s="5"/>
    </row>
    <row r="29" spans="1:30" x14ac:dyDescent="0.25">
      <c r="A29" s="7">
        <v>202204</v>
      </c>
      <c r="B29" s="7" t="s">
        <v>8</v>
      </c>
      <c r="C29" s="7" t="s">
        <v>9</v>
      </c>
      <c r="D29" s="7" t="s">
        <v>10</v>
      </c>
      <c r="E29" s="7">
        <v>80450</v>
      </c>
      <c r="F29" s="8">
        <v>17034</v>
      </c>
      <c r="G29" s="9">
        <v>17200</v>
      </c>
      <c r="H29" s="10">
        <f t="shared" si="0"/>
        <v>0.99034883720930234</v>
      </c>
      <c r="I29" s="10">
        <v>1.5624134623122834</v>
      </c>
      <c r="J29" s="11">
        <v>7.8831509149504086E-4</v>
      </c>
      <c r="K29" s="15">
        <v>191.14309692382813</v>
      </c>
      <c r="L29" s="15">
        <v>843.6</v>
      </c>
      <c r="M29" s="15">
        <v>0.41409075260162354</v>
      </c>
      <c r="N29" s="15">
        <f t="shared" si="1"/>
        <v>2.1913770532548673</v>
      </c>
      <c r="O29" s="15">
        <f t="shared" si="2"/>
        <v>191.14309692382813</v>
      </c>
      <c r="P29" s="15">
        <v>0.89</v>
      </c>
      <c r="Q29" s="15">
        <v>0.83</v>
      </c>
      <c r="R29" s="15">
        <v>-0.62</v>
      </c>
      <c r="S29" s="16"/>
      <c r="T29">
        <v>201501</v>
      </c>
      <c r="U29" s="18">
        <v>111.98569488525391</v>
      </c>
      <c r="V29" s="2"/>
      <c r="W29" s="2"/>
      <c r="X29" s="2"/>
      <c r="Y29" s="2"/>
      <c r="Z29" s="2"/>
      <c r="AA29" s="2"/>
      <c r="AB29" s="6"/>
      <c r="AC29" s="4"/>
      <c r="AD29" s="5"/>
    </row>
    <row r="30" spans="1:30" x14ac:dyDescent="0.25">
      <c r="A30" s="7">
        <v>202203</v>
      </c>
      <c r="B30" s="7" t="s">
        <v>8</v>
      </c>
      <c r="C30" s="7" t="s">
        <v>9</v>
      </c>
      <c r="D30" s="7" t="s">
        <v>10</v>
      </c>
      <c r="E30" s="7">
        <v>80450</v>
      </c>
      <c r="F30" s="8">
        <v>11041</v>
      </c>
      <c r="G30" s="9">
        <v>5952</v>
      </c>
      <c r="H30" s="10">
        <f t="shared" si="0"/>
        <v>1.8550067204301075</v>
      </c>
      <c r="I30" s="10">
        <v>1.2101782318320773</v>
      </c>
      <c r="J30" s="11">
        <v>7.3153015555997699E-4</v>
      </c>
      <c r="K30" s="15">
        <v>318.95492553710938</v>
      </c>
      <c r="L30" s="15">
        <v>843.6</v>
      </c>
      <c r="M30" s="15">
        <v>0.46701973676681519</v>
      </c>
      <c r="N30" s="15">
        <f t="shared" si="1"/>
        <v>5.6511054676270271</v>
      </c>
      <c r="O30" s="15">
        <f t="shared" si="2"/>
        <v>318.95492553710938</v>
      </c>
      <c r="P30" s="15">
        <v>0.60309999999999997</v>
      </c>
      <c r="Q30" s="15">
        <v>0.83</v>
      </c>
      <c r="R30" s="15">
        <v>-0.62</v>
      </c>
      <c r="S30" s="16"/>
      <c r="T30">
        <v>201502</v>
      </c>
      <c r="U30" s="18">
        <v>111.92469787597656</v>
      </c>
      <c r="V30" s="2"/>
      <c r="W30" s="2"/>
      <c r="X30" s="2"/>
      <c r="Y30" s="2"/>
      <c r="Z30" s="2"/>
      <c r="AA30" s="2"/>
      <c r="AB30" s="6"/>
      <c r="AC30" s="4"/>
      <c r="AD30" s="5"/>
    </row>
    <row r="31" spans="1:30" x14ac:dyDescent="0.25">
      <c r="A31" s="7">
        <v>202201</v>
      </c>
      <c r="B31" s="7" t="s">
        <v>8</v>
      </c>
      <c r="C31" s="7" t="s">
        <v>9</v>
      </c>
      <c r="D31" s="7" t="s">
        <v>10</v>
      </c>
      <c r="E31" s="7">
        <v>80450</v>
      </c>
      <c r="F31" s="8">
        <v>14936</v>
      </c>
      <c r="G31" s="9">
        <v>17440</v>
      </c>
      <c r="H31" s="10">
        <f t="shared" si="0"/>
        <v>0.85642201834862386</v>
      </c>
      <c r="I31" s="10">
        <v>0.96046016335286355</v>
      </c>
      <c r="J31" s="11">
        <v>1.3376797775883468E-3</v>
      </c>
      <c r="K31" s="15">
        <v>138.67498779296875</v>
      </c>
      <c r="L31" s="15">
        <v>843.6</v>
      </c>
      <c r="M31" s="15">
        <v>0.21815009415149689</v>
      </c>
      <c r="N31" s="15">
        <f t="shared" si="1"/>
        <v>0.77112190177234807</v>
      </c>
      <c r="O31" s="15">
        <f t="shared" si="2"/>
        <v>138.67498779296875</v>
      </c>
      <c r="P31" s="15">
        <v>1</v>
      </c>
      <c r="Q31" s="15">
        <v>0.83</v>
      </c>
      <c r="R31" s="15">
        <v>-0.62</v>
      </c>
      <c r="S31" s="16"/>
      <c r="T31">
        <v>201503</v>
      </c>
      <c r="U31" s="18">
        <v>104.23526763916016</v>
      </c>
      <c r="V31" s="2"/>
      <c r="W31" s="2"/>
      <c r="X31" s="2"/>
      <c r="Y31" s="2"/>
      <c r="Z31" s="2"/>
      <c r="AA31" s="2"/>
      <c r="AB31" s="6"/>
      <c r="AC31" s="4"/>
      <c r="AD31" s="5"/>
    </row>
    <row r="32" spans="1:30" x14ac:dyDescent="0.25">
      <c r="A32" s="7">
        <v>202112</v>
      </c>
      <c r="B32" s="7" t="s">
        <v>8</v>
      </c>
      <c r="C32" s="7" t="s">
        <v>9</v>
      </c>
      <c r="D32" s="7" t="s">
        <v>10</v>
      </c>
      <c r="E32" s="7">
        <v>80450</v>
      </c>
      <c r="F32" s="8">
        <v>14228</v>
      </c>
      <c r="G32" s="9">
        <v>17100</v>
      </c>
      <c r="H32" s="10">
        <f t="shared" si="0"/>
        <v>0.83204678362573103</v>
      </c>
      <c r="I32" s="10">
        <v>0.94837893769415815</v>
      </c>
      <c r="J32" s="11">
        <v>9.5697313460020843E-4</v>
      </c>
      <c r="K32" s="15">
        <v>105.34542083740234</v>
      </c>
      <c r="L32" s="15">
        <v>854.8</v>
      </c>
      <c r="M32" s="15">
        <v>0.14811158180236816</v>
      </c>
      <c r="N32" s="15">
        <f t="shared" si="1"/>
        <v>-0.13107354512786323</v>
      </c>
      <c r="O32" s="15">
        <f t="shared" si="2"/>
        <v>105.34542083740234</v>
      </c>
      <c r="P32" s="15">
        <v>0.70960000000000001</v>
      </c>
      <c r="Q32" s="15">
        <v>0.83</v>
      </c>
      <c r="R32" s="15">
        <v>-0.69</v>
      </c>
      <c r="S32" s="16"/>
      <c r="T32">
        <v>201504</v>
      </c>
      <c r="U32" s="18">
        <v>102.19049072265625</v>
      </c>
      <c r="V32" s="2"/>
      <c r="W32" s="2"/>
      <c r="X32" s="2"/>
      <c r="Y32" s="2"/>
      <c r="Z32" s="2"/>
      <c r="AA32" s="2"/>
      <c r="AB32" s="6"/>
      <c r="AC32" s="4"/>
      <c r="AD32" s="5"/>
    </row>
    <row r="33" spans="1:30" x14ac:dyDescent="0.25">
      <c r="A33" s="7">
        <v>202110</v>
      </c>
      <c r="B33" s="7" t="s">
        <v>8</v>
      </c>
      <c r="C33" s="7" t="s">
        <v>9</v>
      </c>
      <c r="D33" s="7" t="s">
        <v>10</v>
      </c>
      <c r="E33" s="7">
        <v>80450</v>
      </c>
      <c r="F33" s="8">
        <v>665</v>
      </c>
      <c r="G33" s="12">
        <v>344</v>
      </c>
      <c r="H33" s="10">
        <f t="shared" si="0"/>
        <v>1.933139534883721</v>
      </c>
      <c r="I33" s="10">
        <v>1.9306173331813572</v>
      </c>
      <c r="J33" s="11">
        <v>3.8604762353146612E-5</v>
      </c>
      <c r="K33" s="15">
        <v>79.02923583984375</v>
      </c>
      <c r="L33" s="15">
        <v>854.8</v>
      </c>
      <c r="M33" s="15">
        <v>0.25541067123413086</v>
      </c>
      <c r="N33" s="15">
        <f t="shared" si="1"/>
        <v>-0.843424303127009</v>
      </c>
      <c r="O33" s="15">
        <f t="shared" si="2"/>
        <v>79.02923583984375</v>
      </c>
      <c r="P33" s="15">
        <v>1</v>
      </c>
      <c r="Q33" s="15">
        <v>0.83</v>
      </c>
      <c r="R33" s="15">
        <v>-0.69</v>
      </c>
      <c r="S33" s="16"/>
      <c r="T33">
        <v>201505</v>
      </c>
      <c r="U33" s="18">
        <v>76.2623291015625</v>
      </c>
      <c r="V33" s="2"/>
      <c r="W33" s="2"/>
      <c r="X33" s="2"/>
      <c r="Y33" s="2"/>
      <c r="Z33" s="2"/>
      <c r="AA33" s="2"/>
      <c r="AB33" s="6"/>
      <c r="AC33" s="4"/>
      <c r="AD33" s="5"/>
    </row>
    <row r="34" spans="1:30" x14ac:dyDescent="0.25">
      <c r="A34" s="7">
        <v>202109</v>
      </c>
      <c r="B34" s="7" t="s">
        <v>8</v>
      </c>
      <c r="C34" s="7" t="s">
        <v>9</v>
      </c>
      <c r="D34" s="7" t="s">
        <v>10</v>
      </c>
      <c r="E34" s="7">
        <v>80450</v>
      </c>
      <c r="F34" s="8">
        <v>12404</v>
      </c>
      <c r="G34" s="9">
        <v>9879</v>
      </c>
      <c r="H34" s="10">
        <f t="shared" si="0"/>
        <v>1.2555926713230083</v>
      </c>
      <c r="I34" s="10">
        <v>0.96168832769233448</v>
      </c>
      <c r="J34" s="11">
        <v>8.0073127086717055E-4</v>
      </c>
      <c r="K34" s="15">
        <v>80.696968078613281</v>
      </c>
      <c r="L34" s="15">
        <v>854.8</v>
      </c>
      <c r="M34" s="15">
        <v>0.43071159720420837</v>
      </c>
      <c r="N34" s="15">
        <f t="shared" si="1"/>
        <v>-0.79828058930461032</v>
      </c>
      <c r="O34" s="15">
        <f t="shared" si="2"/>
        <v>80.696968078613281</v>
      </c>
      <c r="P34" s="15">
        <v>1</v>
      </c>
      <c r="Q34" s="15">
        <v>0.83</v>
      </c>
      <c r="R34" s="15">
        <v>-0.69</v>
      </c>
      <c r="S34" s="16"/>
      <c r="T34">
        <v>201506</v>
      </c>
      <c r="U34" s="18">
        <v>85.905967712402344</v>
      </c>
      <c r="V34" s="2"/>
      <c r="W34" s="2"/>
      <c r="X34" s="2"/>
      <c r="Y34" s="2"/>
      <c r="Z34" s="2"/>
      <c r="AA34" s="2"/>
      <c r="AB34" s="6"/>
      <c r="AC34" s="4"/>
      <c r="AD34" s="5"/>
    </row>
    <row r="35" spans="1:30" x14ac:dyDescent="0.25">
      <c r="A35" s="7">
        <v>202108</v>
      </c>
      <c r="B35" s="7" t="s">
        <v>8</v>
      </c>
      <c r="C35" s="7" t="s">
        <v>9</v>
      </c>
      <c r="D35" s="7" t="s">
        <v>10</v>
      </c>
      <c r="E35" s="7">
        <v>80450</v>
      </c>
      <c r="F35" s="8">
        <v>98</v>
      </c>
      <c r="G35" s="12">
        <v>15</v>
      </c>
      <c r="H35" s="10">
        <f t="shared" si="0"/>
        <v>6.5333333333333332</v>
      </c>
      <c r="I35" s="10">
        <v>1.0367885495127362</v>
      </c>
      <c r="J35" s="11">
        <v>5.5657566029892998E-6</v>
      </c>
      <c r="K35" s="15">
        <v>89.486549377441406</v>
      </c>
      <c r="L35" s="15">
        <v>854.8</v>
      </c>
      <c r="M35" s="15">
        <v>0.14482259750366211</v>
      </c>
      <c r="N35" s="15">
        <f t="shared" si="1"/>
        <v>-0.56035609906044304</v>
      </c>
      <c r="O35" s="15">
        <f t="shared" si="2"/>
        <v>89.486549377441406</v>
      </c>
      <c r="P35" s="15">
        <v>2.0299999999999999E-2</v>
      </c>
      <c r="Q35" s="15">
        <v>0.83</v>
      </c>
      <c r="R35" s="15">
        <v>-0.69</v>
      </c>
      <c r="S35" s="16"/>
      <c r="T35">
        <v>201507</v>
      </c>
      <c r="U35" s="18">
        <v>106.80866241455078</v>
      </c>
      <c r="V35" s="2"/>
      <c r="W35" s="2"/>
      <c r="X35" s="2"/>
      <c r="Y35" s="2"/>
      <c r="Z35" s="2"/>
      <c r="AA35" s="2"/>
      <c r="AB35" s="6"/>
      <c r="AC35" s="4"/>
      <c r="AD35" s="5"/>
    </row>
    <row r="36" spans="1:30" x14ac:dyDescent="0.25">
      <c r="A36" s="7">
        <v>202107</v>
      </c>
      <c r="B36" s="7" t="s">
        <v>8</v>
      </c>
      <c r="C36" s="7" t="s">
        <v>9</v>
      </c>
      <c r="D36" s="7" t="s">
        <v>10</v>
      </c>
      <c r="E36" s="7">
        <v>80450</v>
      </c>
      <c r="F36" s="8">
        <v>1103</v>
      </c>
      <c r="G36" s="12">
        <v>510</v>
      </c>
      <c r="H36" s="10">
        <f t="shared" si="0"/>
        <v>2.1627450980392156</v>
      </c>
      <c r="I36" s="10">
        <v>0.8751198528771863</v>
      </c>
      <c r="J36" s="11">
        <v>6.0268270848122643E-5</v>
      </c>
      <c r="K36" s="15">
        <v>58.420768737792969</v>
      </c>
      <c r="L36" s="15">
        <v>854.8</v>
      </c>
      <c r="M36" s="15">
        <v>0.17029666900634766</v>
      </c>
      <c r="N36" s="15">
        <f t="shared" si="1"/>
        <v>-1.4012732908396379</v>
      </c>
      <c r="O36" s="15">
        <f t="shared" si="2"/>
        <v>58.420768737792969</v>
      </c>
      <c r="P36" s="15">
        <v>1</v>
      </c>
      <c r="Q36" s="15">
        <v>0.83</v>
      </c>
      <c r="R36" s="15">
        <v>-0.69</v>
      </c>
      <c r="S36" s="16"/>
      <c r="T36">
        <v>201508</v>
      </c>
      <c r="U36" s="18">
        <v>82.478530883789063</v>
      </c>
      <c r="V36" s="2"/>
      <c r="W36" s="2"/>
      <c r="X36" s="2"/>
      <c r="Y36" s="2"/>
      <c r="Z36" s="2"/>
      <c r="AA36" s="2"/>
      <c r="AB36" s="6"/>
      <c r="AC36" s="4"/>
      <c r="AD36" s="5"/>
    </row>
    <row r="37" spans="1:30" x14ac:dyDescent="0.25">
      <c r="A37" s="7">
        <v>202105</v>
      </c>
      <c r="B37" s="7" t="s">
        <v>8</v>
      </c>
      <c r="C37" s="7" t="s">
        <v>9</v>
      </c>
      <c r="D37" s="7" t="s">
        <v>10</v>
      </c>
      <c r="E37" s="7">
        <v>80450</v>
      </c>
      <c r="F37" s="8">
        <v>1157</v>
      </c>
      <c r="G37" s="12">
        <v>497</v>
      </c>
      <c r="H37" s="10">
        <f t="shared" si="0"/>
        <v>2.3279678068410461</v>
      </c>
      <c r="I37" s="10">
        <v>1.3971747274802528</v>
      </c>
      <c r="J37" s="11">
        <v>5.324089817625305E-5</v>
      </c>
      <c r="K37" s="15">
        <v>93.007133483886719</v>
      </c>
      <c r="L37" s="15">
        <v>854.8</v>
      </c>
      <c r="M37" s="15">
        <v>0.30895048379898071</v>
      </c>
      <c r="N37" s="15">
        <f t="shared" si="1"/>
        <v>-0.46505768262741043</v>
      </c>
      <c r="O37" s="15">
        <f t="shared" si="2"/>
        <v>93.007133483886719</v>
      </c>
      <c r="P37" s="15">
        <v>0.21829999999999999</v>
      </c>
      <c r="Q37" s="15">
        <v>0.83</v>
      </c>
      <c r="R37" s="15">
        <v>-0.69</v>
      </c>
      <c r="S37" s="16"/>
      <c r="T37">
        <v>201509</v>
      </c>
      <c r="U37" s="18">
        <v>98.7674560546875</v>
      </c>
      <c r="V37" s="2"/>
      <c r="W37" s="2"/>
      <c r="X37" s="2"/>
      <c r="Y37" s="2"/>
      <c r="Z37" s="2"/>
      <c r="AA37" s="2"/>
      <c r="AB37" s="6"/>
      <c r="AC37" s="4"/>
      <c r="AD37" s="5"/>
    </row>
    <row r="38" spans="1:30" x14ac:dyDescent="0.25">
      <c r="A38" s="7">
        <v>202102</v>
      </c>
      <c r="B38" s="7" t="s">
        <v>8</v>
      </c>
      <c r="C38" s="7" t="s">
        <v>9</v>
      </c>
      <c r="D38" s="7" t="s">
        <v>10</v>
      </c>
      <c r="E38" s="7">
        <v>80450</v>
      </c>
      <c r="F38" s="8">
        <v>2039</v>
      </c>
      <c r="G38" s="9">
        <v>1200</v>
      </c>
      <c r="H38" s="10">
        <f t="shared" si="0"/>
        <v>1.6991666666666667</v>
      </c>
      <c r="I38" s="10">
        <v>1.0038664805183659</v>
      </c>
      <c r="J38" s="11">
        <v>2.6694047593955129E-4</v>
      </c>
      <c r="K38" s="15">
        <v>73.956802368164063</v>
      </c>
      <c r="L38" s="15">
        <v>854.8</v>
      </c>
      <c r="M38" s="15">
        <v>0.14015078544616699</v>
      </c>
      <c r="N38" s="15">
        <f t="shared" si="1"/>
        <v>-0.98072960892214922</v>
      </c>
      <c r="O38" s="15">
        <f t="shared" si="2"/>
        <v>73.956802368164063</v>
      </c>
      <c r="P38" s="15">
        <v>0.29649999999999999</v>
      </c>
      <c r="Q38" s="15">
        <v>0.83</v>
      </c>
      <c r="R38" s="15">
        <v>-0.69</v>
      </c>
      <c r="S38" s="16"/>
      <c r="T38">
        <v>201510</v>
      </c>
      <c r="U38" s="18">
        <v>91.931884765625</v>
      </c>
      <c r="V38" s="2"/>
      <c r="W38" s="2"/>
      <c r="X38" s="2"/>
      <c r="Y38" s="2"/>
      <c r="Z38" s="2"/>
      <c r="AA38" s="2"/>
      <c r="AB38" s="6"/>
      <c r="AC38" s="4"/>
      <c r="AD38" s="5"/>
    </row>
    <row r="39" spans="1:30" x14ac:dyDescent="0.25">
      <c r="A39" s="7">
        <v>202010</v>
      </c>
      <c r="B39" s="7" t="s">
        <v>8</v>
      </c>
      <c r="C39" s="7" t="s">
        <v>9</v>
      </c>
      <c r="D39" s="7" t="s">
        <v>10</v>
      </c>
      <c r="E39" s="7">
        <v>80450</v>
      </c>
      <c r="F39" s="8">
        <v>844</v>
      </c>
      <c r="G39" s="9">
        <v>1000</v>
      </c>
      <c r="H39" s="10">
        <f t="shared" si="0"/>
        <v>0.84399999999999997</v>
      </c>
      <c r="I39" s="10">
        <v>0.97155903314254466</v>
      </c>
      <c r="J39" s="11">
        <v>8.00261165800365E-5</v>
      </c>
      <c r="K39" s="15">
        <v>76.083168029785156</v>
      </c>
      <c r="L39" s="15">
        <v>700.4</v>
      </c>
      <c r="M39" s="15">
        <v>0.11810857802629471</v>
      </c>
      <c r="N39" s="15">
        <f t="shared" si="1"/>
        <v>-0.92317118276806709</v>
      </c>
      <c r="O39" s="15">
        <f t="shared" si="2"/>
        <v>76.083168029785156</v>
      </c>
      <c r="P39" s="15">
        <v>1</v>
      </c>
      <c r="Q39" s="15">
        <v>0.87</v>
      </c>
      <c r="R39" s="15">
        <v>-0.84</v>
      </c>
      <c r="S39" s="16"/>
      <c r="T39">
        <v>201511</v>
      </c>
      <c r="U39" s="18">
        <v>150.71588134765625</v>
      </c>
      <c r="V39" s="2"/>
      <c r="W39" s="2"/>
      <c r="X39" s="2"/>
      <c r="Y39" s="2"/>
      <c r="Z39" s="2"/>
      <c r="AA39" s="2"/>
      <c r="AB39" s="6"/>
      <c r="AC39" s="4"/>
      <c r="AD39" s="5"/>
    </row>
    <row r="40" spans="1:30" x14ac:dyDescent="0.25">
      <c r="A40" s="7">
        <v>202009</v>
      </c>
      <c r="B40" s="7" t="s">
        <v>8</v>
      </c>
      <c r="C40" s="7" t="s">
        <v>9</v>
      </c>
      <c r="D40" s="7" t="s">
        <v>10</v>
      </c>
      <c r="E40" s="7">
        <v>80450</v>
      </c>
      <c r="F40" s="8">
        <v>7200</v>
      </c>
      <c r="G40" s="9">
        <v>5000</v>
      </c>
      <c r="H40" s="10">
        <f t="shared" si="0"/>
        <v>1.44</v>
      </c>
      <c r="I40" s="10">
        <v>0.9807629045425218</v>
      </c>
      <c r="J40" s="11">
        <v>5.6903788970401813E-4</v>
      </c>
      <c r="K40" s="15">
        <v>80.37738037109375</v>
      </c>
      <c r="L40" s="15">
        <v>700.4</v>
      </c>
      <c r="M40" s="15">
        <v>0.21509231626987457</v>
      </c>
      <c r="N40" s="15">
        <f t="shared" si="1"/>
        <v>-0.80693148401901771</v>
      </c>
      <c r="O40" s="15">
        <f t="shared" si="2"/>
        <v>80.37738037109375</v>
      </c>
      <c r="P40" s="15">
        <v>0.60699999999999998</v>
      </c>
      <c r="Q40" s="15">
        <v>0.87</v>
      </c>
      <c r="R40" s="15">
        <v>-0.84</v>
      </c>
      <c r="S40" s="16"/>
      <c r="T40">
        <v>201512</v>
      </c>
      <c r="U40" s="18">
        <v>148.23687744140625</v>
      </c>
      <c r="V40" s="2"/>
      <c r="W40" s="2"/>
      <c r="X40" s="2"/>
      <c r="Y40" s="2"/>
      <c r="Z40" s="2"/>
      <c r="AA40" s="2"/>
      <c r="AB40" s="6"/>
      <c r="AC40" s="4"/>
      <c r="AD40" s="5"/>
    </row>
    <row r="41" spans="1:30" x14ac:dyDescent="0.25">
      <c r="A41" s="7">
        <v>202008</v>
      </c>
      <c r="B41" s="7" t="s">
        <v>8</v>
      </c>
      <c r="C41" s="7" t="s">
        <v>9</v>
      </c>
      <c r="D41" s="7" t="s">
        <v>10</v>
      </c>
      <c r="E41" s="7">
        <v>80450</v>
      </c>
      <c r="F41" s="8">
        <v>296</v>
      </c>
      <c r="G41" s="12">
        <v>200</v>
      </c>
      <c r="H41" s="10">
        <f t="shared" si="0"/>
        <v>1.48</v>
      </c>
      <c r="I41" s="10">
        <v>0.89543553520613006</v>
      </c>
      <c r="J41" s="11">
        <v>2.1764934734240219E-5</v>
      </c>
      <c r="K41" s="15">
        <v>65.466049194335938</v>
      </c>
      <c r="L41" s="15">
        <v>700.4</v>
      </c>
      <c r="M41" s="15">
        <v>9.7956277430057526E-2</v>
      </c>
      <c r="N41" s="15">
        <f t="shared" si="1"/>
        <v>-1.2105651439710645</v>
      </c>
      <c r="O41" s="15">
        <f t="shared" si="2"/>
        <v>65.466049194335938</v>
      </c>
      <c r="P41" s="15">
        <v>1</v>
      </c>
      <c r="Q41" s="15">
        <v>0.87</v>
      </c>
      <c r="R41" s="15">
        <v>-0.84</v>
      </c>
      <c r="S41" s="16"/>
      <c r="T41">
        <v>201601</v>
      </c>
      <c r="U41" s="18">
        <v>118.21114349365234</v>
      </c>
      <c r="V41" s="2"/>
      <c r="W41" s="2"/>
      <c r="X41" s="2"/>
      <c r="Y41" s="2"/>
      <c r="Z41" s="2"/>
      <c r="AA41" s="2"/>
      <c r="AB41" s="6"/>
      <c r="AC41" s="4"/>
      <c r="AD41" s="5"/>
    </row>
    <row r="42" spans="1:30" x14ac:dyDescent="0.25">
      <c r="A42" s="7">
        <v>202005</v>
      </c>
      <c r="B42" s="7" t="s">
        <v>8</v>
      </c>
      <c r="C42" s="7" t="s">
        <v>9</v>
      </c>
      <c r="D42" s="7" t="s">
        <v>10</v>
      </c>
      <c r="E42" s="7">
        <v>80450</v>
      </c>
      <c r="F42" s="8">
        <v>144</v>
      </c>
      <c r="G42" s="12">
        <v>100</v>
      </c>
      <c r="H42" s="10">
        <f t="shared" si="0"/>
        <v>1.44</v>
      </c>
      <c r="I42" s="10">
        <v>1.3166890553272432</v>
      </c>
      <c r="J42" s="11">
        <v>7.383277686150504E-6</v>
      </c>
      <c r="K42" s="15">
        <v>68.507217407226563</v>
      </c>
      <c r="L42" s="15">
        <v>700.4</v>
      </c>
      <c r="M42" s="15">
        <v>0.15320836007595062</v>
      </c>
      <c r="N42" s="15">
        <f t="shared" si="1"/>
        <v>-1.1282439989473263</v>
      </c>
      <c r="O42" s="15">
        <f t="shared" si="2"/>
        <v>68.507217407226563</v>
      </c>
      <c r="P42" s="15">
        <v>1</v>
      </c>
      <c r="Q42" s="15">
        <v>0.87</v>
      </c>
      <c r="R42" s="15">
        <v>-0.84</v>
      </c>
      <c r="S42" s="16"/>
      <c r="T42">
        <v>201602</v>
      </c>
      <c r="U42" s="18">
        <v>103.74964904785156</v>
      </c>
      <c r="V42" s="2"/>
      <c r="W42" s="2"/>
      <c r="X42" s="2"/>
      <c r="Y42" s="2"/>
      <c r="Z42" s="2"/>
      <c r="AA42" s="2"/>
      <c r="AB42" s="6"/>
      <c r="AC42" s="4"/>
      <c r="AD42" s="5"/>
    </row>
    <row r="43" spans="1:30" x14ac:dyDescent="0.25">
      <c r="A43" s="7">
        <v>202003</v>
      </c>
      <c r="B43" s="7" t="s">
        <v>8</v>
      </c>
      <c r="C43" s="7" t="s">
        <v>9</v>
      </c>
      <c r="D43" s="7" t="s">
        <v>10</v>
      </c>
      <c r="E43" s="7">
        <v>80450</v>
      </c>
      <c r="F43" s="8">
        <v>15442</v>
      </c>
      <c r="G43" s="9">
        <v>17560</v>
      </c>
      <c r="H43" s="10">
        <f t="shared" si="0"/>
        <v>0.87938496583143511</v>
      </c>
      <c r="I43" s="10">
        <v>1.1449394135718842</v>
      </c>
      <c r="J43" s="11">
        <v>1.8418985033053859E-3</v>
      </c>
      <c r="K43" s="15">
        <v>81.540031433105469</v>
      </c>
      <c r="L43" s="15">
        <v>700.4</v>
      </c>
      <c r="M43" s="15">
        <v>0.11971951276063919</v>
      </c>
      <c r="N43" s="15">
        <f t="shared" si="1"/>
        <v>-0.77545977315403503</v>
      </c>
      <c r="O43" s="15">
        <f t="shared" si="2"/>
        <v>81.540031433105469</v>
      </c>
      <c r="P43" s="15">
        <v>0.84650000000000003</v>
      </c>
      <c r="Q43" s="15">
        <v>0.87</v>
      </c>
      <c r="R43" s="15">
        <v>-0.84</v>
      </c>
      <c r="S43" s="16"/>
      <c r="T43">
        <v>201603</v>
      </c>
      <c r="U43" s="18">
        <v>109.72029113769531</v>
      </c>
      <c r="V43" s="2"/>
      <c r="W43" s="2"/>
      <c r="X43" s="2"/>
      <c r="Y43" s="2"/>
      <c r="Z43" s="2"/>
      <c r="AA43" s="2"/>
      <c r="AB43" s="6"/>
      <c r="AC43" s="4"/>
      <c r="AD43" s="5"/>
    </row>
    <row r="44" spans="1:30" x14ac:dyDescent="0.25">
      <c r="A44" s="7">
        <v>202002</v>
      </c>
      <c r="B44" s="7" t="s">
        <v>8</v>
      </c>
      <c r="C44" s="7" t="s">
        <v>9</v>
      </c>
      <c r="D44" s="7" t="s">
        <v>10</v>
      </c>
      <c r="E44" s="7">
        <v>80450</v>
      </c>
      <c r="F44" s="8">
        <v>9167</v>
      </c>
      <c r="G44" s="12">
        <v>390</v>
      </c>
      <c r="H44" s="10">
        <f t="shared" si="0"/>
        <v>23.505128205128205</v>
      </c>
      <c r="I44" s="10">
        <v>1.106555595596513</v>
      </c>
      <c r="J44" s="11">
        <v>1.2165400073387872E-3</v>
      </c>
      <c r="K44" s="15">
        <v>75.955558776855469</v>
      </c>
      <c r="L44" s="15">
        <v>700.4</v>
      </c>
      <c r="M44" s="15">
        <v>0.21399910748004913</v>
      </c>
      <c r="N44" s="15">
        <f t="shared" si="1"/>
        <v>-0.9266254276770689</v>
      </c>
      <c r="O44" s="15">
        <f t="shared" si="2"/>
        <v>75.955558776855469</v>
      </c>
      <c r="P44" s="15">
        <v>0.65910000000000002</v>
      </c>
      <c r="Q44" s="15">
        <v>0.87</v>
      </c>
      <c r="R44" s="15">
        <v>-0.84</v>
      </c>
      <c r="S44" s="16"/>
      <c r="T44">
        <v>201604</v>
      </c>
      <c r="U44" s="18">
        <v>85.221450805664063</v>
      </c>
      <c r="V44" s="2"/>
      <c r="W44" s="2"/>
      <c r="X44" s="2"/>
      <c r="Y44" s="2"/>
      <c r="Z44" s="2"/>
      <c r="AA44" s="2"/>
      <c r="AB44" s="6"/>
      <c r="AC44" s="4"/>
      <c r="AD44" s="5"/>
    </row>
    <row r="45" spans="1:30" x14ac:dyDescent="0.25">
      <c r="A45" s="7">
        <v>201911</v>
      </c>
      <c r="B45" s="7" t="s">
        <v>8</v>
      </c>
      <c r="C45" s="7" t="s">
        <v>9</v>
      </c>
      <c r="D45" s="7" t="s">
        <v>10</v>
      </c>
      <c r="E45" s="7">
        <v>80450</v>
      </c>
      <c r="F45" s="8">
        <v>8813</v>
      </c>
      <c r="G45" s="9">
        <v>4700</v>
      </c>
      <c r="H45" s="10">
        <f t="shared" si="0"/>
        <v>1.8751063829787233</v>
      </c>
      <c r="I45" s="10">
        <v>0.90338520569989933</v>
      </c>
      <c r="J45" s="11">
        <v>9.7196831469318755E-4</v>
      </c>
      <c r="K45" s="15">
        <v>73.078384399414063</v>
      </c>
      <c r="L45" s="15">
        <v>802.4</v>
      </c>
      <c r="M45" s="15">
        <v>7.9225353896617889E-2</v>
      </c>
      <c r="N45" s="15">
        <f t="shared" si="1"/>
        <v>-1.0045074363670157</v>
      </c>
      <c r="O45" s="15">
        <f t="shared" si="2"/>
        <v>73.078384399414063</v>
      </c>
      <c r="P45" s="15">
        <v>1</v>
      </c>
      <c r="Q45" s="15">
        <v>0.8</v>
      </c>
      <c r="R45" s="15">
        <v>-0.8</v>
      </c>
      <c r="S45" s="16"/>
      <c r="T45">
        <v>201605</v>
      </c>
      <c r="U45" s="18">
        <v>88.332420349121094</v>
      </c>
      <c r="V45" s="2"/>
      <c r="W45" s="2"/>
      <c r="X45" s="2"/>
      <c r="Y45" s="2"/>
      <c r="Z45" s="2"/>
      <c r="AA45" s="2"/>
      <c r="AB45" s="6"/>
      <c r="AC45" s="4"/>
      <c r="AD45" s="5"/>
    </row>
    <row r="46" spans="1:30" x14ac:dyDescent="0.25">
      <c r="A46" s="7">
        <v>201908</v>
      </c>
      <c r="B46" s="7" t="s">
        <v>8</v>
      </c>
      <c r="C46" s="7" t="s">
        <v>9</v>
      </c>
      <c r="D46" s="7" t="s">
        <v>10</v>
      </c>
      <c r="E46" s="7">
        <v>80450</v>
      </c>
      <c r="F46" s="8">
        <v>2127</v>
      </c>
      <c r="G46" s="9">
        <v>2150</v>
      </c>
      <c r="H46" s="10">
        <f t="shared" si="0"/>
        <v>0.9893023255813953</v>
      </c>
      <c r="I46" s="10">
        <v>0.73745730747442462</v>
      </c>
      <c r="J46" s="11">
        <v>2.2035166758661157E-4</v>
      </c>
      <c r="K46" s="15">
        <v>103.4044189453125</v>
      </c>
      <c r="L46" s="15">
        <v>802.4</v>
      </c>
      <c r="M46" s="15">
        <v>0.34510219097137451</v>
      </c>
      <c r="N46" s="15">
        <f t="shared" si="1"/>
        <v>-0.18361437387018473</v>
      </c>
      <c r="O46" s="15">
        <f t="shared" si="2"/>
        <v>103.4044189453125</v>
      </c>
      <c r="P46" s="15">
        <v>0.16489999999999999</v>
      </c>
      <c r="Q46" s="15">
        <v>0.8</v>
      </c>
      <c r="R46" s="15">
        <v>-0.8</v>
      </c>
      <c r="S46" s="16"/>
      <c r="T46">
        <v>201606</v>
      </c>
      <c r="U46" s="18">
        <v>90.168128967285156</v>
      </c>
      <c r="V46" s="2"/>
      <c r="W46" s="2"/>
      <c r="X46" s="2"/>
      <c r="Y46" s="2"/>
      <c r="Z46" s="2"/>
      <c r="AA46" s="2"/>
      <c r="AB46" s="6"/>
      <c r="AC46" s="4"/>
      <c r="AD46" s="5"/>
    </row>
    <row r="47" spans="1:30" x14ac:dyDescent="0.25">
      <c r="A47" s="7">
        <v>201907</v>
      </c>
      <c r="B47" s="7" t="s">
        <v>8</v>
      </c>
      <c r="C47" s="7" t="s">
        <v>9</v>
      </c>
      <c r="D47" s="7" t="s">
        <v>10</v>
      </c>
      <c r="E47" s="7">
        <v>80450</v>
      </c>
      <c r="F47" s="8">
        <v>8955</v>
      </c>
      <c r="G47" s="9">
        <v>5872</v>
      </c>
      <c r="H47" s="10">
        <f t="shared" si="0"/>
        <v>1.5250340599455041</v>
      </c>
      <c r="I47" s="10">
        <v>0.80024868860197618</v>
      </c>
      <c r="J47" s="11">
        <v>7.1268514294609638E-4</v>
      </c>
      <c r="K47" s="15">
        <v>93.521255493164063</v>
      </c>
      <c r="L47" s="15">
        <v>802.4</v>
      </c>
      <c r="M47" s="15">
        <v>0.17255109548568726</v>
      </c>
      <c r="N47" s="15">
        <f t="shared" si="1"/>
        <v>-0.45114095408006449</v>
      </c>
      <c r="O47" s="15">
        <f t="shared" si="2"/>
        <v>93.521255493164063</v>
      </c>
      <c r="P47" s="15">
        <v>0.80500000000000005</v>
      </c>
      <c r="Q47" s="15">
        <v>0.8</v>
      </c>
      <c r="R47" s="15">
        <v>-0.8</v>
      </c>
      <c r="S47" s="16"/>
      <c r="T47">
        <v>201607</v>
      </c>
      <c r="U47" s="18">
        <v>114.61045074462891</v>
      </c>
      <c r="V47" s="2"/>
      <c r="W47" s="2"/>
      <c r="X47" s="2"/>
      <c r="Y47" s="2"/>
      <c r="Z47" s="2"/>
      <c r="AA47" s="2"/>
      <c r="AB47" s="6"/>
      <c r="AC47" s="4"/>
      <c r="AD47" s="5"/>
    </row>
    <row r="48" spans="1:30" x14ac:dyDescent="0.25">
      <c r="A48" s="7">
        <v>201906</v>
      </c>
      <c r="B48" s="7" t="s">
        <v>8</v>
      </c>
      <c r="C48" s="7" t="s">
        <v>9</v>
      </c>
      <c r="D48" s="7" t="s">
        <v>10</v>
      </c>
      <c r="E48" s="7">
        <v>80450</v>
      </c>
      <c r="F48" s="8">
        <v>9967</v>
      </c>
      <c r="G48" s="9">
        <v>4699</v>
      </c>
      <c r="H48" s="10">
        <f t="shared" si="0"/>
        <v>2.1210895935305385</v>
      </c>
      <c r="I48" s="10">
        <v>1.1154855021525025</v>
      </c>
      <c r="J48" s="11">
        <v>6.0452224122663364E-4</v>
      </c>
      <c r="K48" s="15">
        <v>106.58845520019531</v>
      </c>
      <c r="L48" s="15">
        <v>802.4</v>
      </c>
      <c r="M48" s="15">
        <v>0.20709292590618134</v>
      </c>
      <c r="N48" s="15">
        <f t="shared" si="1"/>
        <v>-9.7425944967098901E-2</v>
      </c>
      <c r="O48" s="15">
        <f t="shared" si="2"/>
        <v>106.58845520019531</v>
      </c>
      <c r="P48" s="15">
        <v>0.68289999999999995</v>
      </c>
      <c r="Q48" s="15">
        <v>0.8</v>
      </c>
      <c r="R48" s="15">
        <v>-0.8</v>
      </c>
      <c r="S48" s="16"/>
      <c r="T48">
        <v>201608</v>
      </c>
      <c r="U48" s="18">
        <v>98.738487243652344</v>
      </c>
      <c r="V48" s="2"/>
      <c r="W48" s="2"/>
      <c r="X48" s="2"/>
      <c r="Y48" s="2"/>
      <c r="Z48" s="2"/>
      <c r="AA48" s="2"/>
      <c r="AB48" s="6"/>
      <c r="AC48" s="4"/>
      <c r="AD48" s="5"/>
    </row>
    <row r="49" spans="1:30" x14ac:dyDescent="0.25">
      <c r="A49" s="7">
        <v>201905</v>
      </c>
      <c r="B49" s="7" t="s">
        <v>8</v>
      </c>
      <c r="C49" s="7" t="s">
        <v>9</v>
      </c>
      <c r="D49" s="7" t="s">
        <v>10</v>
      </c>
      <c r="E49" s="7">
        <v>80450</v>
      </c>
      <c r="F49" s="8">
        <v>6049</v>
      </c>
      <c r="G49" s="9">
        <v>1472</v>
      </c>
      <c r="H49" s="10">
        <f t="shared" si="0"/>
        <v>4.109375</v>
      </c>
      <c r="I49" s="10">
        <v>1.2825428641450574</v>
      </c>
      <c r="J49" s="11">
        <v>2.0864332480536655E-4</v>
      </c>
      <c r="K49" s="15">
        <v>106.47190093994141</v>
      </c>
      <c r="L49" s="15">
        <v>802.4</v>
      </c>
      <c r="M49" s="15">
        <v>0.26218515634536743</v>
      </c>
      <c r="N49" s="15">
        <f t="shared" si="1"/>
        <v>-0.10058094314208522</v>
      </c>
      <c r="O49" s="15">
        <f t="shared" si="2"/>
        <v>106.47190093994141</v>
      </c>
      <c r="P49" s="15">
        <v>1</v>
      </c>
      <c r="Q49" s="15">
        <v>0.8</v>
      </c>
      <c r="R49" s="15">
        <v>-0.8</v>
      </c>
      <c r="S49" s="16"/>
      <c r="T49">
        <v>201609</v>
      </c>
      <c r="U49" s="18">
        <v>104.54522705078125</v>
      </c>
      <c r="V49" s="2"/>
      <c r="W49" s="2"/>
      <c r="X49" s="2"/>
      <c r="Y49" s="2"/>
      <c r="Z49" s="2"/>
      <c r="AA49" s="2"/>
      <c r="AB49" s="6"/>
      <c r="AC49" s="4"/>
      <c r="AD49" s="5"/>
    </row>
    <row r="50" spans="1:30" x14ac:dyDescent="0.25">
      <c r="A50" s="7">
        <v>201902</v>
      </c>
      <c r="B50" s="7" t="s">
        <v>8</v>
      </c>
      <c r="C50" s="7" t="s">
        <v>9</v>
      </c>
      <c r="D50" s="7" t="s">
        <v>10</v>
      </c>
      <c r="E50" s="7">
        <v>80450</v>
      </c>
      <c r="F50" s="8">
        <v>8006</v>
      </c>
      <c r="G50" s="9">
        <v>4700</v>
      </c>
      <c r="H50" s="10">
        <f t="shared" si="0"/>
        <v>1.7034042553191489</v>
      </c>
      <c r="I50" s="10">
        <v>0.96792293844307509</v>
      </c>
      <c r="J50" s="11">
        <v>1.0463326992952741E-3</v>
      </c>
      <c r="K50" s="15">
        <v>96.800163269042969</v>
      </c>
      <c r="L50" s="15">
        <v>802.4</v>
      </c>
      <c r="M50" s="15">
        <v>0.3635161817073822</v>
      </c>
      <c r="N50" s="15">
        <f t="shared" si="1"/>
        <v>-0.36238445537885372</v>
      </c>
      <c r="O50" s="15">
        <f t="shared" si="2"/>
        <v>96.800163269042969</v>
      </c>
      <c r="P50" s="15">
        <v>0.68899999999999995</v>
      </c>
      <c r="Q50" s="15">
        <v>0.8</v>
      </c>
      <c r="R50" s="15">
        <v>-0.8</v>
      </c>
      <c r="S50" s="16"/>
      <c r="T50">
        <v>201610</v>
      </c>
      <c r="U50" s="18">
        <v>85.747787475585938</v>
      </c>
      <c r="V50" s="2"/>
      <c r="W50" s="2"/>
      <c r="X50" s="2"/>
      <c r="Y50" s="2"/>
      <c r="Z50" s="2"/>
      <c r="AA50" s="2"/>
      <c r="AB50" s="6"/>
      <c r="AC50" s="4"/>
      <c r="AD50" s="5"/>
    </row>
    <row r="51" spans="1:30" x14ac:dyDescent="0.25">
      <c r="A51" s="7">
        <v>201812</v>
      </c>
      <c r="B51" s="7" t="s">
        <v>8</v>
      </c>
      <c r="C51" s="7" t="s">
        <v>9</v>
      </c>
      <c r="D51" s="7" t="s">
        <v>10</v>
      </c>
      <c r="E51" s="7">
        <v>80450</v>
      </c>
      <c r="F51" s="8">
        <v>9564</v>
      </c>
      <c r="G51" s="9">
        <v>9775</v>
      </c>
      <c r="H51" s="10">
        <f t="shared" si="0"/>
        <v>0.9784143222506394</v>
      </c>
      <c r="I51" s="10">
        <v>0.79758722781166136</v>
      </c>
      <c r="J51" s="11">
        <v>1.1366723737983469E-3</v>
      </c>
      <c r="K51" s="15">
        <v>90.607666015625</v>
      </c>
      <c r="L51" s="15">
        <v>768.8</v>
      </c>
      <c r="M51" s="15">
        <v>7.9793475568294525E-2</v>
      </c>
      <c r="N51" s="15">
        <f t="shared" si="1"/>
        <v>-0.53000868027274151</v>
      </c>
      <c r="O51" s="15">
        <f t="shared" si="2"/>
        <v>90.607666015625</v>
      </c>
      <c r="P51" s="15">
        <v>1</v>
      </c>
      <c r="Q51" s="15">
        <v>0.86</v>
      </c>
      <c r="R51" s="15">
        <v>-1</v>
      </c>
      <c r="S51" s="16"/>
      <c r="T51">
        <v>201611</v>
      </c>
      <c r="U51" s="18">
        <v>82.918754577636719</v>
      </c>
      <c r="V51" s="2"/>
      <c r="W51" s="2"/>
      <c r="X51" s="2"/>
      <c r="Y51" s="2"/>
      <c r="Z51" s="2"/>
      <c r="AA51" s="2"/>
      <c r="AB51" s="6"/>
      <c r="AC51" s="4"/>
      <c r="AD51" s="5"/>
    </row>
    <row r="52" spans="1:30" x14ac:dyDescent="0.25">
      <c r="A52" s="7">
        <v>201811</v>
      </c>
      <c r="B52" s="7" t="s">
        <v>8</v>
      </c>
      <c r="C52" s="7" t="s">
        <v>9</v>
      </c>
      <c r="D52" s="7" t="s">
        <v>10</v>
      </c>
      <c r="E52" s="7">
        <v>80450</v>
      </c>
      <c r="F52" s="8">
        <v>2351</v>
      </c>
      <c r="G52" s="9">
        <v>2000</v>
      </c>
      <c r="H52" s="10">
        <f t="shared" si="0"/>
        <v>1.1755</v>
      </c>
      <c r="I52" s="10">
        <v>0.89713798650890697</v>
      </c>
      <c r="J52" s="11">
        <v>3.1872991754100478E-4</v>
      </c>
      <c r="K52" s="15">
        <v>80.407585144042969</v>
      </c>
      <c r="L52" s="15">
        <v>768.8</v>
      </c>
      <c r="M52" s="15">
        <v>0.18225744366645813</v>
      </c>
      <c r="N52" s="15">
        <f t="shared" si="1"/>
        <v>-0.80611387337721818</v>
      </c>
      <c r="O52" s="15">
        <f t="shared" si="2"/>
        <v>80.407585144042969</v>
      </c>
      <c r="P52" s="15">
        <v>0.79159999999999997</v>
      </c>
      <c r="Q52" s="15">
        <v>0.86</v>
      </c>
      <c r="R52" s="15">
        <v>-1</v>
      </c>
      <c r="S52" s="16"/>
      <c r="T52">
        <v>201612</v>
      </c>
      <c r="U52" s="18">
        <v>102.18046569824219</v>
      </c>
      <c r="V52" s="2"/>
      <c r="W52" s="2"/>
      <c r="X52" s="2"/>
      <c r="Y52" s="2"/>
      <c r="Z52" s="2"/>
      <c r="AA52" s="2"/>
      <c r="AB52" s="6"/>
      <c r="AC52" s="4"/>
      <c r="AD52" s="5"/>
    </row>
    <row r="53" spans="1:30" x14ac:dyDescent="0.25">
      <c r="A53" s="7">
        <v>201810</v>
      </c>
      <c r="B53" s="7" t="s">
        <v>8</v>
      </c>
      <c r="C53" s="7" t="s">
        <v>9</v>
      </c>
      <c r="D53" s="7" t="s">
        <v>10</v>
      </c>
      <c r="E53" s="7">
        <v>80450</v>
      </c>
      <c r="F53" s="8">
        <v>7887</v>
      </c>
      <c r="G53" s="9">
        <v>4092</v>
      </c>
      <c r="H53" s="10">
        <f t="shared" si="0"/>
        <v>1.9274193548387097</v>
      </c>
      <c r="I53" s="10">
        <v>0.88552039203519117</v>
      </c>
      <c r="J53" s="11">
        <v>9.0425108072736773E-4</v>
      </c>
      <c r="K53" s="15">
        <v>92.0164794921875</v>
      </c>
      <c r="L53" s="15">
        <v>768.8</v>
      </c>
      <c r="M53" s="15">
        <v>0.20596474409103394</v>
      </c>
      <c r="N53" s="15">
        <f t="shared" si="1"/>
        <v>-0.49187361821865538</v>
      </c>
      <c r="O53" s="15">
        <f t="shared" si="2"/>
        <v>92.0164794921875</v>
      </c>
      <c r="P53" s="15">
        <v>0.48120000000000002</v>
      </c>
      <c r="Q53" s="15">
        <v>0.86</v>
      </c>
      <c r="R53" s="15">
        <v>-1</v>
      </c>
      <c r="S53" s="16"/>
      <c r="T53">
        <v>201701</v>
      </c>
      <c r="U53" s="18">
        <v>105.20123291015625</v>
      </c>
      <c r="V53" s="2"/>
      <c r="W53" s="2"/>
      <c r="X53" s="2"/>
      <c r="Y53" s="2"/>
      <c r="Z53" s="2"/>
      <c r="AA53" s="2"/>
      <c r="AB53" s="6"/>
      <c r="AC53" s="4"/>
      <c r="AD53" s="5"/>
    </row>
    <row r="54" spans="1:30" x14ac:dyDescent="0.25">
      <c r="A54" s="7">
        <v>201809</v>
      </c>
      <c r="B54" s="7" t="s">
        <v>8</v>
      </c>
      <c r="C54" s="7" t="s">
        <v>9</v>
      </c>
      <c r="D54" s="7" t="s">
        <v>10</v>
      </c>
      <c r="E54" s="7">
        <v>80450</v>
      </c>
      <c r="F54" s="8">
        <v>20669</v>
      </c>
      <c r="G54" s="9">
        <v>23695</v>
      </c>
      <c r="H54" s="10">
        <f t="shared" si="0"/>
        <v>0.87229373285503276</v>
      </c>
      <c r="I54" s="10">
        <v>0.82516201121965382</v>
      </c>
      <c r="J54" s="11">
        <v>1.736281598682815E-3</v>
      </c>
      <c r="K54" s="15">
        <v>75.053909301757813</v>
      </c>
      <c r="L54" s="15">
        <v>768.8</v>
      </c>
      <c r="M54" s="15">
        <v>0.15539689362049103</v>
      </c>
      <c r="N54" s="15">
        <f t="shared" si="1"/>
        <v>-0.95103210695428686</v>
      </c>
      <c r="O54" s="15">
        <f t="shared" si="2"/>
        <v>75.053909301757813</v>
      </c>
      <c r="P54" s="15">
        <v>0.84930000000000005</v>
      </c>
      <c r="Q54" s="15">
        <v>0.86</v>
      </c>
      <c r="R54" s="15">
        <v>-1</v>
      </c>
      <c r="S54" s="16"/>
      <c r="T54">
        <v>201702</v>
      </c>
      <c r="U54" s="18">
        <v>114.20635986328125</v>
      </c>
      <c r="V54" s="2"/>
      <c r="W54" s="2"/>
      <c r="X54" s="2"/>
      <c r="Y54" s="2"/>
      <c r="Z54" s="2"/>
      <c r="AA54" s="2"/>
      <c r="AB54" s="6"/>
      <c r="AC54" s="4"/>
      <c r="AD54" s="5"/>
    </row>
    <row r="55" spans="1:30" x14ac:dyDescent="0.25">
      <c r="A55" s="7">
        <v>201808</v>
      </c>
      <c r="B55" s="7" t="s">
        <v>8</v>
      </c>
      <c r="C55" s="7" t="s">
        <v>9</v>
      </c>
      <c r="D55" s="7" t="s">
        <v>10</v>
      </c>
      <c r="E55" s="7">
        <v>80450</v>
      </c>
      <c r="F55" s="8">
        <v>11101</v>
      </c>
      <c r="G55" s="9">
        <v>14835</v>
      </c>
      <c r="H55" s="10">
        <f t="shared" si="0"/>
        <v>0.74829794405123018</v>
      </c>
      <c r="I55" s="10">
        <v>0.89076896561192165</v>
      </c>
      <c r="J55" s="11">
        <v>8.2452961109327684E-4</v>
      </c>
      <c r="K55" s="15">
        <v>112.74168395996094</v>
      </c>
      <c r="L55" s="15">
        <v>768.8</v>
      </c>
      <c r="M55" s="15">
        <v>0.14780311286449432</v>
      </c>
      <c r="N55" s="15">
        <f t="shared" si="1"/>
        <v>6.9135324136604032E-2</v>
      </c>
      <c r="O55" s="15">
        <f t="shared" si="2"/>
        <v>112.74168395996094</v>
      </c>
      <c r="P55" s="15">
        <v>0.63270000000000004</v>
      </c>
      <c r="Q55" s="15">
        <v>0.86</v>
      </c>
      <c r="R55" s="15">
        <v>-1</v>
      </c>
      <c r="S55" s="16"/>
      <c r="T55">
        <v>201703</v>
      </c>
      <c r="U55" s="18">
        <v>96.635879516601563</v>
      </c>
      <c r="V55" s="2"/>
      <c r="W55" s="2"/>
      <c r="X55" s="2"/>
      <c r="Y55" s="2"/>
      <c r="Z55" s="2"/>
      <c r="AA55" s="2"/>
      <c r="AB55" s="6"/>
      <c r="AC55" s="4"/>
      <c r="AD55" s="5"/>
    </row>
    <row r="56" spans="1:30" x14ac:dyDescent="0.25">
      <c r="A56" s="7">
        <v>201807</v>
      </c>
      <c r="B56" s="7" t="s">
        <v>8</v>
      </c>
      <c r="C56" s="7" t="s">
        <v>9</v>
      </c>
      <c r="D56" s="7" t="s">
        <v>10</v>
      </c>
      <c r="E56" s="7">
        <v>80450</v>
      </c>
      <c r="F56" s="8">
        <v>15422</v>
      </c>
      <c r="G56" s="9">
        <v>11720</v>
      </c>
      <c r="H56" s="10">
        <f t="shared" si="0"/>
        <v>1.3158703071672355</v>
      </c>
      <c r="I56" s="10">
        <v>0.93108714454088859</v>
      </c>
      <c r="J56" s="11">
        <v>1.1703853202626392E-3</v>
      </c>
      <c r="K56" s="15">
        <v>110.02842712402344</v>
      </c>
      <c r="L56" s="15">
        <v>768.8</v>
      </c>
      <c r="M56" s="15">
        <v>0.17504163086414337</v>
      </c>
      <c r="N56" s="15">
        <f t="shared" si="1"/>
        <v>-4.3096134144031137E-3</v>
      </c>
      <c r="O56" s="15">
        <f t="shared" si="2"/>
        <v>110.02842712402344</v>
      </c>
      <c r="P56" s="15">
        <v>0.63729999999999998</v>
      </c>
      <c r="Q56" s="15">
        <v>0.86</v>
      </c>
      <c r="R56" s="15">
        <v>-1</v>
      </c>
      <c r="S56" s="16"/>
      <c r="T56">
        <v>201704</v>
      </c>
      <c r="U56" s="18">
        <v>119.45992279052734</v>
      </c>
      <c r="V56" s="2"/>
      <c r="W56" s="2"/>
      <c r="X56" s="2"/>
      <c r="Y56" s="2"/>
      <c r="Z56" s="2"/>
      <c r="AA56" s="2"/>
      <c r="AB56" s="6"/>
      <c r="AC56" s="4"/>
      <c r="AD56" s="5"/>
    </row>
    <row r="57" spans="1:30" x14ac:dyDescent="0.25">
      <c r="A57" s="7">
        <v>201806</v>
      </c>
      <c r="B57" s="7" t="s">
        <v>8</v>
      </c>
      <c r="C57" s="7" t="s">
        <v>9</v>
      </c>
      <c r="D57" s="7" t="s">
        <v>10</v>
      </c>
      <c r="E57" s="7">
        <v>80450</v>
      </c>
      <c r="F57" s="8">
        <v>7357</v>
      </c>
      <c r="G57" s="9">
        <v>3500</v>
      </c>
      <c r="H57" s="10">
        <f t="shared" si="0"/>
        <v>2.1019999999999999</v>
      </c>
      <c r="I57" s="10">
        <v>1.142489204813848</v>
      </c>
      <c r="J57" s="11">
        <v>4.4477528691391543E-4</v>
      </c>
      <c r="K57" s="15">
        <v>103.96858978271484</v>
      </c>
      <c r="L57" s="15">
        <v>768.8</v>
      </c>
      <c r="M57" s="15">
        <v>0.16108380258083344</v>
      </c>
      <c r="N57" s="15">
        <f t="shared" si="1"/>
        <v>-0.16834287750010463</v>
      </c>
      <c r="O57" s="15">
        <f t="shared" si="2"/>
        <v>103.96858978271484</v>
      </c>
      <c r="P57" s="15">
        <v>0.62250000000000005</v>
      </c>
      <c r="Q57" s="15">
        <v>0.86</v>
      </c>
      <c r="R57" s="15">
        <v>-1</v>
      </c>
      <c r="S57" s="16"/>
      <c r="T57">
        <v>201705</v>
      </c>
      <c r="U57" s="18">
        <v>102.57996368408203</v>
      </c>
      <c r="V57" s="2"/>
      <c r="W57" s="2"/>
      <c r="X57" s="2"/>
      <c r="Y57" s="2"/>
      <c r="Z57" s="2"/>
      <c r="AA57" s="2"/>
      <c r="AB57" s="6"/>
      <c r="AC57" s="4"/>
      <c r="AD57" s="5"/>
    </row>
    <row r="58" spans="1:30" x14ac:dyDescent="0.25">
      <c r="A58" s="7">
        <v>201805</v>
      </c>
      <c r="B58" s="7" t="s">
        <v>8</v>
      </c>
      <c r="C58" s="7" t="s">
        <v>9</v>
      </c>
      <c r="D58" s="7" t="s">
        <v>10</v>
      </c>
      <c r="E58" s="7">
        <v>80450</v>
      </c>
      <c r="F58" s="8">
        <v>10120</v>
      </c>
      <c r="G58" s="9">
        <v>3775</v>
      </c>
      <c r="H58" s="10">
        <f t="shared" si="0"/>
        <v>2.6807947019867551</v>
      </c>
      <c r="I58" s="10">
        <v>1.3560176342663179</v>
      </c>
      <c r="J58" s="11">
        <v>3.4601949532646304E-4</v>
      </c>
      <c r="K58" s="15">
        <v>125.66661834716797</v>
      </c>
      <c r="L58" s="15">
        <v>768.8</v>
      </c>
      <c r="M58" s="15">
        <v>0.28573828935623169</v>
      </c>
      <c r="N58" s="15">
        <f t="shared" si="1"/>
        <v>0.41899936440955066</v>
      </c>
      <c r="O58" s="15">
        <f t="shared" si="2"/>
        <v>125.66661834716797</v>
      </c>
      <c r="P58" s="15">
        <v>0.94</v>
      </c>
      <c r="Q58" s="15">
        <v>0.86</v>
      </c>
      <c r="R58" s="15">
        <v>-1</v>
      </c>
      <c r="S58" s="16"/>
      <c r="T58">
        <v>201706</v>
      </c>
      <c r="U58" s="18">
        <v>126.78901672363281</v>
      </c>
      <c r="V58" s="2"/>
      <c r="W58" s="2"/>
      <c r="X58" s="2"/>
      <c r="Y58" s="2"/>
      <c r="Z58" s="2"/>
      <c r="AA58" s="2"/>
      <c r="AB58" s="6"/>
      <c r="AC58" s="4"/>
      <c r="AD58" s="5"/>
    </row>
    <row r="59" spans="1:30" x14ac:dyDescent="0.25">
      <c r="A59" s="7">
        <v>201803</v>
      </c>
      <c r="B59" s="7" t="s">
        <v>8</v>
      </c>
      <c r="C59" s="7" t="s">
        <v>9</v>
      </c>
      <c r="D59" s="7" t="s">
        <v>10</v>
      </c>
      <c r="E59" s="7">
        <v>80450</v>
      </c>
      <c r="F59" s="8">
        <v>7974</v>
      </c>
      <c r="G59" s="9">
        <v>4500</v>
      </c>
      <c r="H59" s="10">
        <f t="shared" si="0"/>
        <v>1.772</v>
      </c>
      <c r="I59" s="10">
        <v>1.1721498370579335</v>
      </c>
      <c r="J59" s="11">
        <v>5.264168992103746E-4</v>
      </c>
      <c r="K59" s="15">
        <v>111.96229553222656</v>
      </c>
      <c r="L59" s="15">
        <v>768.8</v>
      </c>
      <c r="M59" s="15">
        <v>0.1322433203458786</v>
      </c>
      <c r="N59" s="15">
        <f t="shared" si="1"/>
        <v>4.8038119609281726E-2</v>
      </c>
      <c r="O59" s="15">
        <f t="shared" si="2"/>
        <v>111.96229553222656</v>
      </c>
      <c r="P59" s="15">
        <v>0.48809999999999998</v>
      </c>
      <c r="Q59" s="15">
        <v>0.86</v>
      </c>
      <c r="R59" s="15">
        <v>-1</v>
      </c>
      <c r="S59" s="16"/>
      <c r="T59">
        <v>201707</v>
      </c>
      <c r="U59" s="18">
        <v>102.81346130371094</v>
      </c>
      <c r="V59" s="2"/>
      <c r="W59" s="2"/>
      <c r="X59" s="2"/>
      <c r="Y59" s="2"/>
      <c r="Z59" s="2"/>
      <c r="AA59" s="2"/>
      <c r="AB59" s="6"/>
      <c r="AC59" s="4"/>
      <c r="AD59" s="5"/>
    </row>
    <row r="60" spans="1:30" x14ac:dyDescent="0.25">
      <c r="A60" s="7">
        <v>201801</v>
      </c>
      <c r="B60" s="7" t="s">
        <v>8</v>
      </c>
      <c r="C60" s="7" t="s">
        <v>9</v>
      </c>
      <c r="D60" s="7" t="s">
        <v>10</v>
      </c>
      <c r="E60" s="7">
        <v>80450</v>
      </c>
      <c r="F60" s="8">
        <v>696</v>
      </c>
      <c r="G60" s="12">
        <v>30</v>
      </c>
      <c r="H60" s="10">
        <f t="shared" si="0"/>
        <v>23.2</v>
      </c>
      <c r="I60" s="10">
        <v>0.8812220369951137</v>
      </c>
      <c r="J60" s="11">
        <v>7.5795972053937981E-5</v>
      </c>
      <c r="K60" s="15">
        <v>92.426788330078125</v>
      </c>
      <c r="L60" s="15">
        <v>768.8</v>
      </c>
      <c r="M60" s="15">
        <v>0.17787419259548187</v>
      </c>
      <c r="N60" s="15">
        <f t="shared" si="1"/>
        <v>-0.48076700030605707</v>
      </c>
      <c r="O60" s="15">
        <f t="shared" si="2"/>
        <v>92.426788330078125</v>
      </c>
      <c r="P60" s="15">
        <v>1</v>
      </c>
      <c r="Q60" s="15">
        <v>0.86</v>
      </c>
      <c r="R60" s="15">
        <v>-1</v>
      </c>
      <c r="S60" s="16"/>
      <c r="T60">
        <v>201708</v>
      </c>
      <c r="U60" s="18">
        <v>138.5316162109375</v>
      </c>
      <c r="V60" s="2"/>
      <c r="W60" s="2"/>
      <c r="X60" s="2"/>
      <c r="Y60" s="2"/>
      <c r="Z60" s="2"/>
      <c r="AA60" s="2"/>
      <c r="AB60" s="6"/>
      <c r="AC60" s="4"/>
      <c r="AD60" s="5"/>
    </row>
    <row r="61" spans="1:30" x14ac:dyDescent="0.25">
      <c r="A61" s="7">
        <v>201712</v>
      </c>
      <c r="B61" s="7" t="s">
        <v>8</v>
      </c>
      <c r="C61" s="7" t="s">
        <v>9</v>
      </c>
      <c r="D61" s="7" t="s">
        <v>10</v>
      </c>
      <c r="E61" s="7">
        <v>80450</v>
      </c>
      <c r="F61" s="8">
        <v>8484</v>
      </c>
      <c r="G61" s="9">
        <v>4753</v>
      </c>
      <c r="H61" s="10">
        <f t="shared" si="0"/>
        <v>1.784977908689249</v>
      </c>
      <c r="I61" s="10">
        <v>0.92317030014516976</v>
      </c>
      <c r="J61" s="11">
        <v>8.9125539162764099E-4</v>
      </c>
      <c r="K61" s="15">
        <v>82.718254089355469</v>
      </c>
      <c r="L61" s="15">
        <v>809.6</v>
      </c>
      <c r="M61" s="15">
        <v>6.3967831432819366E-2</v>
      </c>
      <c r="N61" s="15">
        <f t="shared" si="1"/>
        <v>-0.74356655601981447</v>
      </c>
      <c r="O61" s="15">
        <f t="shared" si="2"/>
        <v>82.718254089355469</v>
      </c>
      <c r="P61" s="15">
        <v>0.54249999999999998</v>
      </c>
      <c r="Q61" s="15">
        <v>0.96</v>
      </c>
      <c r="R61" s="15">
        <v>-0.77</v>
      </c>
      <c r="S61" s="16"/>
      <c r="T61">
        <v>201709</v>
      </c>
      <c r="U61" s="18">
        <v>115.53444671630859</v>
      </c>
      <c r="V61" s="2"/>
      <c r="W61" s="2"/>
      <c r="X61" s="2"/>
      <c r="Y61" s="2"/>
      <c r="Z61" s="2"/>
      <c r="AA61" s="2"/>
      <c r="AB61" s="6"/>
      <c r="AC61" s="4"/>
      <c r="AD61" s="5"/>
    </row>
    <row r="62" spans="1:30" x14ac:dyDescent="0.25">
      <c r="A62" s="7">
        <v>201711</v>
      </c>
      <c r="B62" s="7" t="s">
        <v>8</v>
      </c>
      <c r="C62" s="7" t="s">
        <v>9</v>
      </c>
      <c r="D62" s="7" t="s">
        <v>10</v>
      </c>
      <c r="E62" s="7">
        <v>80450</v>
      </c>
      <c r="F62" s="8">
        <v>771</v>
      </c>
      <c r="G62" s="12">
        <v>600</v>
      </c>
      <c r="H62" s="10">
        <f t="shared" si="0"/>
        <v>1.2849999999999999</v>
      </c>
      <c r="I62" s="10">
        <v>0.87469271858987019</v>
      </c>
      <c r="J62" s="11">
        <v>6.5346708360861308E-5</v>
      </c>
      <c r="K62" s="15">
        <v>92.596015930175781</v>
      </c>
      <c r="L62" s="15">
        <v>809.6</v>
      </c>
      <c r="M62" s="15">
        <v>0.15569768846035004</v>
      </c>
      <c r="N62" s="15">
        <f t="shared" si="1"/>
        <v>-0.47618619160543707</v>
      </c>
      <c r="O62" s="15">
        <f t="shared" si="2"/>
        <v>92.596015930175781</v>
      </c>
      <c r="P62" s="19">
        <v>0.73009999999999997</v>
      </c>
      <c r="Q62" s="15">
        <v>0.96</v>
      </c>
      <c r="R62" s="15">
        <v>-0.77</v>
      </c>
      <c r="S62" s="16"/>
      <c r="T62">
        <v>201710</v>
      </c>
      <c r="U62" s="18">
        <v>91.461570739746094</v>
      </c>
      <c r="V62" s="2"/>
      <c r="W62" s="2"/>
      <c r="X62" s="2"/>
      <c r="Y62" s="2"/>
      <c r="Z62" s="2"/>
      <c r="AA62" s="2"/>
      <c r="AB62" s="6"/>
      <c r="AC62" s="4"/>
      <c r="AD62" s="5"/>
    </row>
    <row r="63" spans="1:30" x14ac:dyDescent="0.25">
      <c r="A63" s="7">
        <v>201710</v>
      </c>
      <c r="B63" s="7" t="s">
        <v>8</v>
      </c>
      <c r="C63" s="7" t="s">
        <v>9</v>
      </c>
      <c r="D63" s="7" t="s">
        <v>10</v>
      </c>
      <c r="E63" s="7">
        <v>80450</v>
      </c>
      <c r="F63" s="8">
        <v>9178</v>
      </c>
      <c r="G63" s="9">
        <v>8750</v>
      </c>
      <c r="H63" s="10">
        <f t="shared" si="0"/>
        <v>1.0489142857142857</v>
      </c>
      <c r="I63" s="10">
        <v>0.91454321657353166</v>
      </c>
      <c r="J63" s="11">
        <v>9.5809188349611047E-4</v>
      </c>
      <c r="K63" s="15">
        <v>91.461570739746094</v>
      </c>
      <c r="L63" s="15">
        <v>809.6</v>
      </c>
      <c r="M63" s="15">
        <v>0.12174336612224579</v>
      </c>
      <c r="N63" s="15">
        <f t="shared" si="1"/>
        <v>-0.50689439993373553</v>
      </c>
      <c r="O63" s="15">
        <f t="shared" si="2"/>
        <v>91.461570739746094</v>
      </c>
      <c r="P63" s="15">
        <v>0.86729999999999996</v>
      </c>
      <c r="Q63" s="15">
        <v>0.96</v>
      </c>
      <c r="R63" s="15">
        <v>-0.77</v>
      </c>
      <c r="S63" s="16"/>
      <c r="T63">
        <v>201711</v>
      </c>
      <c r="U63" s="18">
        <v>92.596015930175781</v>
      </c>
      <c r="V63" s="2"/>
      <c r="W63" s="2"/>
      <c r="X63" s="2"/>
      <c r="Y63" s="2"/>
      <c r="Z63" s="2"/>
      <c r="AA63" s="2"/>
      <c r="AB63" s="6"/>
      <c r="AC63" s="4"/>
      <c r="AD63" s="5"/>
    </row>
    <row r="64" spans="1:30" x14ac:dyDescent="0.25">
      <c r="A64" s="7">
        <v>201709</v>
      </c>
      <c r="B64" s="7" t="s">
        <v>8</v>
      </c>
      <c r="C64" s="7" t="s">
        <v>9</v>
      </c>
      <c r="D64" s="7" t="s">
        <v>10</v>
      </c>
      <c r="E64" s="7">
        <v>80450</v>
      </c>
      <c r="F64" s="8">
        <v>9971</v>
      </c>
      <c r="G64" s="9">
        <v>5010</v>
      </c>
      <c r="H64" s="10">
        <f t="shared" si="0"/>
        <v>1.9902195608782436</v>
      </c>
      <c r="I64" s="10">
        <v>0.92498536861298142</v>
      </c>
      <c r="J64" s="11">
        <v>7.1117546155793855E-4</v>
      </c>
      <c r="K64" s="15">
        <v>115.53444671630859</v>
      </c>
      <c r="L64" s="15">
        <v>809.6</v>
      </c>
      <c r="M64" s="15">
        <v>0.28461575508117676</v>
      </c>
      <c r="N64" s="15">
        <f t="shared" si="1"/>
        <v>0.14473240124259792</v>
      </c>
      <c r="O64" s="15">
        <f t="shared" si="2"/>
        <v>115.53444671630859</v>
      </c>
      <c r="P64" s="15">
        <v>0.56420000000000003</v>
      </c>
      <c r="Q64" s="15">
        <v>0.96</v>
      </c>
      <c r="R64" s="15">
        <v>-0.77</v>
      </c>
      <c r="S64" s="16"/>
      <c r="T64">
        <v>201712</v>
      </c>
      <c r="U64" s="18">
        <v>82.718254089355469</v>
      </c>
      <c r="V64" s="2"/>
      <c r="W64" s="2"/>
      <c r="X64" s="2"/>
      <c r="Y64" s="2"/>
      <c r="Z64" s="2"/>
      <c r="AA64" s="2"/>
      <c r="AB64" s="6"/>
      <c r="AC64" s="4"/>
      <c r="AD64" s="5"/>
    </row>
    <row r="65" spans="1:30" x14ac:dyDescent="0.25">
      <c r="A65" s="7">
        <v>201706</v>
      </c>
      <c r="B65" s="7" t="s">
        <v>8</v>
      </c>
      <c r="C65" s="7" t="s">
        <v>9</v>
      </c>
      <c r="D65" s="7" t="s">
        <v>10</v>
      </c>
      <c r="E65" s="7">
        <v>80450</v>
      </c>
      <c r="F65" s="8">
        <v>19045</v>
      </c>
      <c r="G65" s="9">
        <v>10670</v>
      </c>
      <c r="H65" s="10">
        <f t="shared" si="0"/>
        <v>1.7849109653233364</v>
      </c>
      <c r="I65" s="10">
        <v>1.1674273421598591</v>
      </c>
      <c r="J65" s="11">
        <v>9.3368058701324573E-4</v>
      </c>
      <c r="K65" s="15">
        <v>126.78901672363281</v>
      </c>
      <c r="L65" s="15">
        <v>809.6</v>
      </c>
      <c r="M65" s="15">
        <v>0.2270381897687912</v>
      </c>
      <c r="N65" s="15">
        <f t="shared" si="1"/>
        <v>0.44938147847076115</v>
      </c>
      <c r="O65" s="15">
        <f t="shared" si="2"/>
        <v>126.78901672363281</v>
      </c>
      <c r="P65" s="15">
        <v>1</v>
      </c>
      <c r="Q65" s="15">
        <v>0.96</v>
      </c>
      <c r="R65" s="15">
        <v>-0.77</v>
      </c>
      <c r="S65" s="16"/>
      <c r="T65">
        <v>201801</v>
      </c>
      <c r="U65" s="18">
        <v>92.426788330078125</v>
      </c>
      <c r="V65" s="2"/>
      <c r="W65" s="2"/>
      <c r="X65" s="2"/>
      <c r="Y65" s="2"/>
      <c r="Z65" s="2"/>
      <c r="AA65" s="2"/>
      <c r="AB65" s="6"/>
      <c r="AC65" s="4"/>
      <c r="AD65" s="5"/>
    </row>
    <row r="66" spans="1:30" x14ac:dyDescent="0.25">
      <c r="A66" s="7">
        <v>201705</v>
      </c>
      <c r="B66" s="7" t="s">
        <v>8</v>
      </c>
      <c r="C66" s="7" t="s">
        <v>9</v>
      </c>
      <c r="D66" s="7" t="s">
        <v>10</v>
      </c>
      <c r="E66" s="7">
        <v>80450</v>
      </c>
      <c r="F66" s="8">
        <v>7905</v>
      </c>
      <c r="G66" s="9">
        <v>3626</v>
      </c>
      <c r="H66" s="10">
        <f t="shared" si="0"/>
        <v>2.180088251516823</v>
      </c>
      <c r="I66" s="10">
        <v>1.231242075344452</v>
      </c>
      <c r="J66" s="11">
        <v>2.898780312056176E-4</v>
      </c>
      <c r="K66" s="15">
        <v>102.57996368408203</v>
      </c>
      <c r="L66" s="15">
        <v>809.6</v>
      </c>
      <c r="M66" s="15">
        <v>9.1389112174510956E-2</v>
      </c>
      <c r="N66" s="15">
        <f t="shared" si="1"/>
        <v>-0.20593148899642333</v>
      </c>
      <c r="O66" s="15">
        <f t="shared" si="2"/>
        <v>102.57996368408203</v>
      </c>
      <c r="P66" s="15">
        <v>0.18440000000000001</v>
      </c>
      <c r="Q66" s="15">
        <v>0.96</v>
      </c>
      <c r="R66" s="15">
        <v>-0.77</v>
      </c>
      <c r="S66" s="16"/>
      <c r="T66">
        <v>201802</v>
      </c>
      <c r="U66" s="18">
        <v>64.491371154785156</v>
      </c>
      <c r="V66" s="2"/>
      <c r="W66" s="2"/>
      <c r="X66" s="2"/>
      <c r="Y66" s="2"/>
      <c r="Z66" s="2"/>
      <c r="AA66" s="2"/>
      <c r="AB66" s="6"/>
      <c r="AC66" s="4"/>
      <c r="AD66" s="5"/>
    </row>
    <row r="67" spans="1:30" x14ac:dyDescent="0.25">
      <c r="A67" s="7">
        <v>201704</v>
      </c>
      <c r="B67" s="7" t="s">
        <v>8</v>
      </c>
      <c r="C67" s="7" t="s">
        <v>9</v>
      </c>
      <c r="D67" s="7" t="s">
        <v>10</v>
      </c>
      <c r="E67" s="7">
        <v>80450</v>
      </c>
      <c r="F67" s="8">
        <v>18758</v>
      </c>
      <c r="G67" s="9">
        <v>18000</v>
      </c>
      <c r="H67" s="10">
        <f t="shared" ref="H67:H130" si="3">F67/G67</f>
        <v>1.0421111111111112</v>
      </c>
      <c r="I67" s="10">
        <v>1.2274468399878697</v>
      </c>
      <c r="J67" s="11">
        <v>8.5997858718419185E-4</v>
      </c>
      <c r="K67" s="15">
        <v>119.45992279052734</v>
      </c>
      <c r="L67" s="15">
        <v>809.6</v>
      </c>
      <c r="M67" s="15">
        <v>0.14710518717765808</v>
      </c>
      <c r="N67" s="15">
        <f t="shared" ref="N67:N89" si="4">(K67-$S$2)/$S$3</f>
        <v>0.25099080675375607</v>
      </c>
      <c r="O67" s="15">
        <f t="shared" ref="O67:O130" si="5">VLOOKUP(A67,$T$5:$U$158,2,FALSE)</f>
        <v>119.45992279052734</v>
      </c>
      <c r="P67" s="15">
        <v>0.76949999999999996</v>
      </c>
      <c r="Q67" s="15">
        <v>0.96</v>
      </c>
      <c r="R67" s="15">
        <v>-0.77</v>
      </c>
      <c r="S67" s="16"/>
      <c r="T67">
        <v>201803</v>
      </c>
      <c r="U67" s="18">
        <v>111.96229553222656</v>
      </c>
      <c r="V67" s="2"/>
      <c r="W67" s="2"/>
      <c r="X67" s="2"/>
      <c r="Y67" s="2"/>
      <c r="Z67" s="2"/>
      <c r="AA67" s="2"/>
      <c r="AB67" s="6"/>
      <c r="AC67" s="4"/>
      <c r="AD67" s="5"/>
    </row>
    <row r="68" spans="1:30" x14ac:dyDescent="0.25">
      <c r="A68" s="7">
        <v>201701</v>
      </c>
      <c r="B68" s="7" t="s">
        <v>8</v>
      </c>
      <c r="C68" s="7" t="s">
        <v>9</v>
      </c>
      <c r="D68" s="7" t="s">
        <v>10</v>
      </c>
      <c r="E68" s="7">
        <v>80450</v>
      </c>
      <c r="F68" s="8">
        <v>359</v>
      </c>
      <c r="G68" s="12">
        <v>300</v>
      </c>
      <c r="H68" s="10">
        <f t="shared" si="3"/>
        <v>1.1966666666666668</v>
      </c>
      <c r="I68" s="10">
        <v>0.94221639342396024</v>
      </c>
      <c r="J68" s="11">
        <v>3.012209180223496E-5</v>
      </c>
      <c r="K68" s="15">
        <v>105.20123291015625</v>
      </c>
      <c r="L68" s="15">
        <v>809.6</v>
      </c>
      <c r="M68" s="15">
        <v>0.18233387172222137</v>
      </c>
      <c r="N68" s="15">
        <f t="shared" si="4"/>
        <v>-0.13497655687814578</v>
      </c>
      <c r="O68" s="15">
        <f t="shared" si="5"/>
        <v>105.20123291015625</v>
      </c>
      <c r="P68" s="15">
        <v>0.41420000000000001</v>
      </c>
      <c r="Q68" s="15">
        <v>0.96</v>
      </c>
      <c r="R68" s="15">
        <v>-0.77</v>
      </c>
      <c r="S68" s="16"/>
      <c r="T68">
        <v>201804</v>
      </c>
      <c r="U68" s="18">
        <v>123.26347351074219</v>
      </c>
      <c r="V68" s="2"/>
      <c r="W68" s="2"/>
      <c r="X68" s="2"/>
      <c r="Y68" s="2"/>
      <c r="Z68" s="2"/>
      <c r="AA68" s="2"/>
      <c r="AB68" s="6"/>
      <c r="AC68" s="4"/>
      <c r="AD68" s="5"/>
    </row>
    <row r="69" spans="1:30" x14ac:dyDescent="0.25">
      <c r="A69" s="7">
        <v>201612</v>
      </c>
      <c r="B69" s="7" t="s">
        <v>8</v>
      </c>
      <c r="C69" s="7" t="s">
        <v>9</v>
      </c>
      <c r="D69" s="7" t="s">
        <v>10</v>
      </c>
      <c r="E69" s="7">
        <v>80450</v>
      </c>
      <c r="F69" s="8">
        <v>360</v>
      </c>
      <c r="G69" s="12">
        <v>400</v>
      </c>
      <c r="H69" s="10">
        <f t="shared" si="3"/>
        <v>0.9</v>
      </c>
      <c r="I69" s="10">
        <v>0.82419783350388742</v>
      </c>
      <c r="J69" s="11">
        <v>2.6424847989226882E-5</v>
      </c>
      <c r="K69" s="15">
        <v>102.18046569824219</v>
      </c>
      <c r="L69" s="15">
        <v>748.3</v>
      </c>
      <c r="M69" s="15">
        <v>0.16102194786071777</v>
      </c>
      <c r="N69" s="15">
        <f t="shared" si="4"/>
        <v>-0.21674546879853165</v>
      </c>
      <c r="O69" s="15">
        <f t="shared" si="5"/>
        <v>102.18046569824219</v>
      </c>
      <c r="P69" s="15">
        <v>9.4500000000000001E-2</v>
      </c>
      <c r="Q69" s="15">
        <v>1</v>
      </c>
      <c r="R69" s="15">
        <v>-0.96</v>
      </c>
      <c r="S69" s="16"/>
      <c r="T69">
        <v>201805</v>
      </c>
      <c r="U69" s="18">
        <v>125.66661834716797</v>
      </c>
      <c r="V69" s="2"/>
      <c r="W69" s="2"/>
      <c r="X69" s="2"/>
      <c r="Y69" s="2"/>
      <c r="Z69" s="2"/>
      <c r="AA69" s="2"/>
      <c r="AB69" s="6"/>
      <c r="AC69" s="4"/>
      <c r="AD69" s="5"/>
    </row>
    <row r="70" spans="1:30" x14ac:dyDescent="0.25">
      <c r="A70" s="7">
        <v>201610</v>
      </c>
      <c r="B70" s="7" t="s">
        <v>8</v>
      </c>
      <c r="C70" s="7" t="s">
        <v>9</v>
      </c>
      <c r="D70" s="7" t="s">
        <v>10</v>
      </c>
      <c r="E70" s="7">
        <v>80450</v>
      </c>
      <c r="F70" s="8">
        <v>1166</v>
      </c>
      <c r="G70" s="12">
        <v>672</v>
      </c>
      <c r="H70" s="10">
        <f t="shared" si="3"/>
        <v>1.7351190476190477</v>
      </c>
      <c r="I70" s="10">
        <v>0.97</v>
      </c>
      <c r="J70" s="11">
        <v>7.9816359396500702E-5</v>
      </c>
      <c r="K70" s="15">
        <v>85.747787475585938</v>
      </c>
      <c r="L70" s="15">
        <v>748.3</v>
      </c>
      <c r="M70" s="15">
        <v>0.16687935590744019</v>
      </c>
      <c r="N70" s="15">
        <f t="shared" si="4"/>
        <v>-0.66156035321096496</v>
      </c>
      <c r="O70" s="15">
        <f t="shared" si="5"/>
        <v>85.747787475585938</v>
      </c>
      <c r="P70" s="15">
        <v>0.4914</v>
      </c>
      <c r="Q70" s="15">
        <v>1</v>
      </c>
      <c r="R70" s="15">
        <v>-0.96</v>
      </c>
      <c r="S70" s="16"/>
      <c r="T70">
        <v>201806</v>
      </c>
      <c r="U70" s="18">
        <v>103.96858978271484</v>
      </c>
      <c r="V70" s="2"/>
      <c r="W70" s="2"/>
      <c r="X70" s="2"/>
      <c r="Y70" s="2"/>
      <c r="Z70" s="2"/>
      <c r="AA70" s="2"/>
      <c r="AB70" s="6"/>
      <c r="AC70" s="4"/>
      <c r="AD70" s="5"/>
    </row>
    <row r="71" spans="1:30" x14ac:dyDescent="0.25">
      <c r="A71" s="7">
        <v>201609</v>
      </c>
      <c r="B71" s="7" t="s">
        <v>8</v>
      </c>
      <c r="C71" s="7" t="s">
        <v>9</v>
      </c>
      <c r="D71" s="7" t="s">
        <v>10</v>
      </c>
      <c r="E71" s="7">
        <v>80450</v>
      </c>
      <c r="F71" s="8">
        <v>20425</v>
      </c>
      <c r="G71" s="9">
        <v>18240</v>
      </c>
      <c r="H71" s="10">
        <f t="shared" si="3"/>
        <v>1.1197916666666667</v>
      </c>
      <c r="I71" s="10">
        <v>0.98193344868140853</v>
      </c>
      <c r="J71" s="11">
        <v>1.4077282870059201E-3</v>
      </c>
      <c r="K71" s="15">
        <v>104.54522705078125</v>
      </c>
      <c r="L71" s="15">
        <v>748.3</v>
      </c>
      <c r="M71" s="15">
        <v>0.17644686996936798</v>
      </c>
      <c r="N71" s="15">
        <f t="shared" si="4"/>
        <v>-0.15273392829125201</v>
      </c>
      <c r="O71" s="15">
        <f t="shared" si="5"/>
        <v>104.54522705078125</v>
      </c>
      <c r="P71" s="15">
        <v>0.98499999999999999</v>
      </c>
      <c r="Q71" s="15">
        <v>1</v>
      </c>
      <c r="R71" s="15">
        <v>-0.96</v>
      </c>
      <c r="S71" s="16"/>
      <c r="T71">
        <v>201807</v>
      </c>
      <c r="U71" s="18">
        <v>110.02842712402344</v>
      </c>
      <c r="V71" s="2"/>
      <c r="W71" s="2"/>
      <c r="X71" s="2"/>
      <c r="Y71" s="2"/>
      <c r="Z71" s="2"/>
      <c r="AA71" s="2"/>
      <c r="AB71" s="6"/>
      <c r="AC71" s="4"/>
      <c r="AD71" s="5"/>
    </row>
    <row r="72" spans="1:30" x14ac:dyDescent="0.25">
      <c r="A72" s="7">
        <v>201607</v>
      </c>
      <c r="B72" s="7" t="s">
        <v>8</v>
      </c>
      <c r="C72" s="7" t="s">
        <v>9</v>
      </c>
      <c r="D72" s="7" t="s">
        <v>10</v>
      </c>
      <c r="E72" s="7">
        <v>80450</v>
      </c>
      <c r="F72" s="8">
        <v>24368</v>
      </c>
      <c r="G72" s="9">
        <v>20100</v>
      </c>
      <c r="H72" s="10">
        <f t="shared" si="3"/>
        <v>1.2123383084577115</v>
      </c>
      <c r="I72" s="10">
        <v>1.0635519173547554</v>
      </c>
      <c r="J72" s="11">
        <v>1.6558581963485772E-3</v>
      </c>
      <c r="K72" s="15">
        <v>114.61045074462891</v>
      </c>
      <c r="L72" s="15">
        <v>748.3</v>
      </c>
      <c r="M72" s="15">
        <v>0.27500858902931213</v>
      </c>
      <c r="N72" s="15">
        <f t="shared" si="4"/>
        <v>0.11972082639330855</v>
      </c>
      <c r="O72" s="15">
        <f t="shared" si="5"/>
        <v>114.61045074462891</v>
      </c>
      <c r="P72" s="15">
        <v>1</v>
      </c>
      <c r="Q72" s="15">
        <v>1</v>
      </c>
      <c r="R72" s="15">
        <v>-0.96</v>
      </c>
      <c r="S72" s="16"/>
      <c r="T72">
        <v>201808</v>
      </c>
      <c r="U72" s="18">
        <v>112.74168395996094</v>
      </c>
      <c r="V72" s="2"/>
      <c r="W72" s="2"/>
      <c r="X72" s="2"/>
      <c r="Y72" s="2"/>
      <c r="Z72" s="2"/>
      <c r="AA72" s="2"/>
      <c r="AB72" s="6"/>
      <c r="AC72" s="4"/>
      <c r="AD72" s="5"/>
    </row>
    <row r="73" spans="1:30" x14ac:dyDescent="0.25">
      <c r="A73" s="7">
        <v>201606</v>
      </c>
      <c r="B73" s="7" t="s">
        <v>8</v>
      </c>
      <c r="C73" s="7" t="s">
        <v>9</v>
      </c>
      <c r="D73" s="7" t="s">
        <v>10</v>
      </c>
      <c r="E73" s="7">
        <v>80450</v>
      </c>
      <c r="F73" s="8">
        <v>3070</v>
      </c>
      <c r="G73" s="9">
        <v>1260</v>
      </c>
      <c r="H73" s="10">
        <f t="shared" si="3"/>
        <v>2.4365079365079363</v>
      </c>
      <c r="I73" s="10">
        <v>1.1988154001637565</v>
      </c>
      <c r="J73" s="11">
        <v>1.464034164739419E-4</v>
      </c>
      <c r="K73" s="15">
        <v>90.168128967285156</v>
      </c>
      <c r="L73" s="15">
        <v>748.3</v>
      </c>
      <c r="M73" s="15">
        <v>0.10855713486671448</v>
      </c>
      <c r="N73" s="15">
        <f t="shared" si="4"/>
        <v>-0.54190647433303718</v>
      </c>
      <c r="O73" s="15">
        <f t="shared" si="5"/>
        <v>90.168128967285156</v>
      </c>
      <c r="P73" s="15">
        <v>0.9929</v>
      </c>
      <c r="Q73" s="15">
        <v>1</v>
      </c>
      <c r="R73" s="15">
        <v>-0.96</v>
      </c>
      <c r="S73" s="16"/>
      <c r="T73">
        <v>201809</v>
      </c>
      <c r="U73" s="18">
        <v>75.053909301757813</v>
      </c>
      <c r="V73" s="2"/>
      <c r="W73" s="2"/>
      <c r="X73" s="2"/>
      <c r="Y73" s="2"/>
      <c r="Z73" s="2"/>
      <c r="AA73" s="2"/>
      <c r="AB73" s="6"/>
      <c r="AC73" s="4"/>
      <c r="AD73" s="5"/>
    </row>
    <row r="74" spans="1:30" x14ac:dyDescent="0.25">
      <c r="A74" s="7">
        <v>201605</v>
      </c>
      <c r="B74" s="7" t="s">
        <v>8</v>
      </c>
      <c r="C74" s="7" t="s">
        <v>9</v>
      </c>
      <c r="D74" s="7" t="s">
        <v>10</v>
      </c>
      <c r="E74" s="7">
        <v>80450</v>
      </c>
      <c r="F74" s="8">
        <v>7944</v>
      </c>
      <c r="G74" s="9">
        <v>3230</v>
      </c>
      <c r="H74" s="10">
        <f t="shared" si="3"/>
        <v>2.4594427244582042</v>
      </c>
      <c r="I74" s="10">
        <v>1.2290629015399883</v>
      </c>
      <c r="J74" s="11">
        <v>2.5087849317273529E-4</v>
      </c>
      <c r="K74" s="15">
        <v>88.332420349121094</v>
      </c>
      <c r="L74" s="15">
        <v>748.3</v>
      </c>
      <c r="M74" s="15">
        <v>8.1941090524196625E-2</v>
      </c>
      <c r="N74" s="15">
        <f t="shared" si="4"/>
        <v>-0.59159712766048755</v>
      </c>
      <c r="O74" s="15">
        <f t="shared" si="5"/>
        <v>88.332420349121094</v>
      </c>
      <c r="P74" s="15">
        <v>0.99009999999999998</v>
      </c>
      <c r="Q74" s="15">
        <v>1</v>
      </c>
      <c r="R74" s="15">
        <v>-0.96</v>
      </c>
      <c r="S74" s="16"/>
      <c r="T74">
        <v>201810</v>
      </c>
      <c r="U74" s="18">
        <v>92.0164794921875</v>
      </c>
      <c r="V74" s="2"/>
      <c r="W74" s="2"/>
      <c r="X74" s="2"/>
      <c r="Y74" s="2"/>
      <c r="Z74" s="2"/>
      <c r="AA74" s="2"/>
      <c r="AB74" s="6"/>
      <c r="AC74" s="4"/>
      <c r="AD74" s="5"/>
    </row>
    <row r="75" spans="1:30" x14ac:dyDescent="0.25">
      <c r="A75" s="7">
        <v>201601</v>
      </c>
      <c r="B75" s="7" t="s">
        <v>8</v>
      </c>
      <c r="C75" s="7" t="s">
        <v>9</v>
      </c>
      <c r="D75" s="7" t="s">
        <v>10</v>
      </c>
      <c r="E75" s="7">
        <v>80450</v>
      </c>
      <c r="F75" s="8">
        <v>904</v>
      </c>
      <c r="G75" s="9">
        <v>1000</v>
      </c>
      <c r="H75" s="10">
        <f t="shared" si="3"/>
        <v>0.90400000000000003</v>
      </c>
      <c r="I75" s="10">
        <v>0.86717880066005637</v>
      </c>
      <c r="J75" s="11">
        <v>9.2863711409169836E-5</v>
      </c>
      <c r="K75" s="15">
        <v>118.21114349365234</v>
      </c>
      <c r="L75" s="15">
        <v>748.3</v>
      </c>
      <c r="M75" s="15">
        <v>0.22246940433979034</v>
      </c>
      <c r="N75" s="15">
        <f t="shared" si="4"/>
        <v>0.21718769742065655</v>
      </c>
      <c r="O75" s="15">
        <f t="shared" si="5"/>
        <v>118.21114349365234</v>
      </c>
      <c r="P75" s="15">
        <v>0.22700000000000001</v>
      </c>
      <c r="Q75" s="15">
        <v>1</v>
      </c>
      <c r="R75" s="15">
        <v>-0.96</v>
      </c>
      <c r="S75" s="16"/>
      <c r="T75">
        <v>201811</v>
      </c>
      <c r="U75" s="18">
        <v>80.407585144042969</v>
      </c>
      <c r="V75" s="2"/>
      <c r="W75" s="2"/>
      <c r="X75" s="2"/>
      <c r="Y75" s="2"/>
      <c r="Z75" s="2"/>
      <c r="AA75" s="2"/>
      <c r="AB75" s="6"/>
      <c r="AC75" s="4"/>
      <c r="AD75" s="5"/>
    </row>
    <row r="76" spans="1:30" x14ac:dyDescent="0.25">
      <c r="A76" s="7">
        <v>201509</v>
      </c>
      <c r="B76" s="7" t="s">
        <v>8</v>
      </c>
      <c r="C76" s="7" t="s">
        <v>9</v>
      </c>
      <c r="D76" s="7" t="s">
        <v>10</v>
      </c>
      <c r="E76" s="7">
        <v>80450</v>
      </c>
      <c r="F76" s="8">
        <v>371</v>
      </c>
      <c r="G76" s="12">
        <v>400</v>
      </c>
      <c r="H76" s="10">
        <f t="shared" si="3"/>
        <v>0.92749999999999999</v>
      </c>
      <c r="I76" s="10">
        <v>0.97348854514032723</v>
      </c>
      <c r="J76" s="11">
        <v>2.2588855791039811E-5</v>
      </c>
      <c r="K76" s="15">
        <v>98.7674560546875</v>
      </c>
      <c r="L76" s="15">
        <v>749.3</v>
      </c>
      <c r="M76" s="15">
        <v>6.5251432359218597E-2</v>
      </c>
      <c r="N76" s="15">
        <f t="shared" si="4"/>
        <v>-0.30913196049062641</v>
      </c>
      <c r="O76" s="15">
        <f t="shared" si="5"/>
        <v>98.7674560546875</v>
      </c>
      <c r="P76" s="15">
        <v>0.10249999999999999</v>
      </c>
      <c r="Q76" s="15">
        <v>0.99</v>
      </c>
      <c r="R76" s="15">
        <v>-0.95</v>
      </c>
      <c r="S76" s="16"/>
      <c r="T76">
        <v>201812</v>
      </c>
      <c r="U76" s="18">
        <v>90.607666015625</v>
      </c>
      <c r="V76" s="2"/>
      <c r="W76" s="2"/>
      <c r="X76" s="2"/>
      <c r="Y76" s="2"/>
      <c r="Z76" s="2"/>
      <c r="AA76" s="2"/>
      <c r="AB76" s="6"/>
      <c r="AC76" s="4"/>
      <c r="AD76" s="5"/>
    </row>
    <row r="77" spans="1:30" x14ac:dyDescent="0.25">
      <c r="A77" s="7">
        <v>201506</v>
      </c>
      <c r="B77" s="7" t="s">
        <v>8</v>
      </c>
      <c r="C77" s="7" t="s">
        <v>9</v>
      </c>
      <c r="D77" s="7" t="s">
        <v>10</v>
      </c>
      <c r="E77" s="7">
        <v>80450</v>
      </c>
      <c r="F77" s="8">
        <v>10091</v>
      </c>
      <c r="G77" s="9">
        <v>2210</v>
      </c>
      <c r="H77" s="10">
        <f t="shared" si="3"/>
        <v>4.5660633484162894</v>
      </c>
      <c r="I77" s="10">
        <v>1.4585258474741469</v>
      </c>
      <c r="J77" s="11">
        <v>6.2294487916283027E-4</v>
      </c>
      <c r="K77" s="15">
        <v>85.905967712402344</v>
      </c>
      <c r="L77" s="15">
        <v>749.3</v>
      </c>
      <c r="M77" s="15">
        <v>0.10393209755420685</v>
      </c>
      <c r="N77" s="15">
        <f t="shared" si="4"/>
        <v>-0.65727858472487521</v>
      </c>
      <c r="O77" s="15">
        <f t="shared" si="5"/>
        <v>85.905967712402344</v>
      </c>
      <c r="P77" s="15">
        <v>0.32469999999999999</v>
      </c>
      <c r="Q77" s="15">
        <v>0.99</v>
      </c>
      <c r="R77" s="15">
        <v>-0.95</v>
      </c>
      <c r="S77" s="16"/>
      <c r="T77">
        <v>201901</v>
      </c>
      <c r="U77" s="18">
        <v>87.424102783203125</v>
      </c>
      <c r="V77" s="2"/>
      <c r="W77" s="2"/>
      <c r="X77" s="2"/>
      <c r="Y77" s="2"/>
      <c r="Z77" s="2"/>
      <c r="AA77" s="2"/>
      <c r="AB77" s="6"/>
      <c r="AC77" s="4"/>
      <c r="AD77" s="5"/>
    </row>
    <row r="78" spans="1:30" x14ac:dyDescent="0.25">
      <c r="A78" s="7">
        <v>201504</v>
      </c>
      <c r="B78" s="7" t="s">
        <v>8</v>
      </c>
      <c r="C78" s="7" t="s">
        <v>9</v>
      </c>
      <c r="D78" s="7" t="s">
        <v>10</v>
      </c>
      <c r="E78" s="7">
        <v>80450</v>
      </c>
      <c r="F78" s="8">
        <v>3937</v>
      </c>
      <c r="G78" s="9">
        <v>1656</v>
      </c>
      <c r="H78" s="10">
        <f t="shared" si="3"/>
        <v>2.3774154589371981</v>
      </c>
      <c r="I78" s="10">
        <v>0.97</v>
      </c>
      <c r="J78" s="11">
        <v>2.0824995665206006E-4</v>
      </c>
      <c r="K78" s="15">
        <v>102.19049072265625</v>
      </c>
      <c r="L78" s="15">
        <v>749.3</v>
      </c>
      <c r="M78" s="15">
        <v>0.18705096840858459</v>
      </c>
      <c r="N78" s="15">
        <f t="shared" si="4"/>
        <v>-0.21647410219501448</v>
      </c>
      <c r="O78" s="15">
        <f t="shared" si="5"/>
        <v>102.19049072265625</v>
      </c>
      <c r="P78" s="15">
        <v>0.6028</v>
      </c>
      <c r="Q78" s="15">
        <v>0.99</v>
      </c>
      <c r="R78" s="15">
        <v>-0.95</v>
      </c>
      <c r="S78" s="16"/>
      <c r="T78">
        <v>201902</v>
      </c>
      <c r="U78" s="18">
        <v>96.800163269042969</v>
      </c>
      <c r="V78" s="2"/>
      <c r="W78" s="2"/>
      <c r="X78" s="2"/>
      <c r="Y78" s="2"/>
      <c r="Z78" s="2"/>
      <c r="AA78" s="2"/>
      <c r="AB78" s="6"/>
      <c r="AC78" s="4"/>
      <c r="AD78" s="5"/>
    </row>
    <row r="79" spans="1:30" x14ac:dyDescent="0.25">
      <c r="A79" s="7">
        <v>201502</v>
      </c>
      <c r="B79" s="7" t="s">
        <v>8</v>
      </c>
      <c r="C79" s="7" t="s">
        <v>9</v>
      </c>
      <c r="D79" s="7" t="s">
        <v>10</v>
      </c>
      <c r="E79" s="7">
        <v>80450</v>
      </c>
      <c r="F79" s="8">
        <v>206</v>
      </c>
      <c r="G79" s="12">
        <v>100</v>
      </c>
      <c r="H79" s="10">
        <f t="shared" si="3"/>
        <v>2.06</v>
      </c>
      <c r="I79" s="10">
        <v>0.84838634380500966</v>
      </c>
      <c r="J79" s="11">
        <v>2.0213170450503488E-5</v>
      </c>
      <c r="K79" s="15">
        <v>111.92469787597656</v>
      </c>
      <c r="L79" s="15">
        <v>749.3</v>
      </c>
      <c r="M79" s="15">
        <v>0.1231527104973793</v>
      </c>
      <c r="N79" s="15">
        <f t="shared" si="4"/>
        <v>4.70203915863497E-2</v>
      </c>
      <c r="O79" s="15">
        <f t="shared" si="5"/>
        <v>111.92469787597656</v>
      </c>
      <c r="P79" s="15">
        <v>0.27110000000000001</v>
      </c>
      <c r="Q79" s="15">
        <v>0.99</v>
      </c>
      <c r="R79" s="15">
        <v>-0.95</v>
      </c>
      <c r="S79" s="16"/>
      <c r="T79">
        <v>201903</v>
      </c>
      <c r="U79" s="18">
        <v>82.328292846679688</v>
      </c>
      <c r="V79" s="2"/>
      <c r="W79" s="2"/>
      <c r="X79" s="2"/>
      <c r="Y79" s="2"/>
      <c r="Z79" s="2"/>
      <c r="AA79" s="2"/>
      <c r="AB79" s="6"/>
      <c r="AC79" s="4"/>
      <c r="AD79" s="5"/>
    </row>
    <row r="80" spans="1:30" x14ac:dyDescent="0.25">
      <c r="A80" s="7">
        <v>201501</v>
      </c>
      <c r="B80" s="7" t="s">
        <v>8</v>
      </c>
      <c r="C80" s="7" t="s">
        <v>9</v>
      </c>
      <c r="D80" s="7" t="s">
        <v>10</v>
      </c>
      <c r="E80" s="7">
        <v>80450</v>
      </c>
      <c r="F80" s="8">
        <v>582</v>
      </c>
      <c r="G80" s="12">
        <v>307</v>
      </c>
      <c r="H80" s="10">
        <f t="shared" si="3"/>
        <v>1.8957654723127035</v>
      </c>
      <c r="I80" s="10">
        <v>0.90526936116048884</v>
      </c>
      <c r="J80" s="11">
        <v>5.2679237030860619E-5</v>
      </c>
      <c r="K80" s="15">
        <v>111.98569488525391</v>
      </c>
      <c r="L80" s="15">
        <v>749.3</v>
      </c>
      <c r="M80" s="15">
        <v>0.21778281033039093</v>
      </c>
      <c r="N80" s="15">
        <f t="shared" si="4"/>
        <v>4.8671514870306999E-2</v>
      </c>
      <c r="O80" s="15">
        <f t="shared" si="5"/>
        <v>111.98569488525391</v>
      </c>
      <c r="P80" s="15">
        <v>2.6800000000000001E-2</v>
      </c>
      <c r="Q80" s="15">
        <v>0.99</v>
      </c>
      <c r="R80" s="15">
        <v>-0.95</v>
      </c>
      <c r="S80" s="16"/>
      <c r="T80">
        <v>201904</v>
      </c>
      <c r="U80" s="18">
        <v>79.253448486328125</v>
      </c>
      <c r="V80" s="2"/>
      <c r="W80" s="2"/>
      <c r="X80" s="2"/>
      <c r="Y80" s="2"/>
      <c r="Z80" s="2"/>
      <c r="AA80" s="2"/>
      <c r="AB80" s="6"/>
      <c r="AC80" s="4"/>
      <c r="AD80" s="5"/>
    </row>
    <row r="81" spans="1:30" x14ac:dyDescent="0.25">
      <c r="A81" s="7">
        <v>201410</v>
      </c>
      <c r="B81" s="7" t="s">
        <v>8</v>
      </c>
      <c r="C81" s="7" t="s">
        <v>9</v>
      </c>
      <c r="D81" s="7" t="s">
        <v>10</v>
      </c>
      <c r="E81" s="7">
        <v>80450</v>
      </c>
      <c r="F81" s="8">
        <v>14272</v>
      </c>
      <c r="G81" s="9">
        <v>7100</v>
      </c>
      <c r="H81" s="10">
        <f t="shared" si="3"/>
        <v>2.0101408450704223</v>
      </c>
      <c r="I81" s="10">
        <v>0.93532108114580292</v>
      </c>
      <c r="J81" s="11">
        <v>9.8016801173069911E-4</v>
      </c>
      <c r="K81" s="15">
        <v>83.661003112792969</v>
      </c>
      <c r="L81" s="15">
        <v>742.8</v>
      </c>
      <c r="M81" s="15">
        <v>0.1330697238445282</v>
      </c>
      <c r="N81" s="15">
        <f t="shared" si="4"/>
        <v>-0.71804735627597005</v>
      </c>
      <c r="O81" s="15">
        <f t="shared" si="5"/>
        <v>83.661003112792969</v>
      </c>
      <c r="P81" s="15">
        <v>0.78769999999999996</v>
      </c>
      <c r="Q81" s="15">
        <v>0.67</v>
      </c>
      <c r="R81" s="15">
        <v>-1</v>
      </c>
      <c r="S81" s="16"/>
      <c r="T81">
        <v>201905</v>
      </c>
      <c r="U81" s="18">
        <v>106.47190093994141</v>
      </c>
      <c r="V81" s="2"/>
      <c r="W81" s="2"/>
      <c r="X81" s="2"/>
      <c r="Y81" s="2"/>
      <c r="Z81" s="2"/>
      <c r="AA81" s="2"/>
      <c r="AB81" s="6"/>
      <c r="AC81" s="4"/>
      <c r="AD81" s="5"/>
    </row>
    <row r="82" spans="1:30" x14ac:dyDescent="0.25">
      <c r="A82" s="7">
        <v>201408</v>
      </c>
      <c r="B82" s="7" t="s">
        <v>8</v>
      </c>
      <c r="C82" s="7" t="s">
        <v>9</v>
      </c>
      <c r="D82" s="7" t="s">
        <v>10</v>
      </c>
      <c r="E82" s="7">
        <v>80450</v>
      </c>
      <c r="F82" s="8">
        <v>666</v>
      </c>
      <c r="G82" s="12">
        <v>326</v>
      </c>
      <c r="H82" s="10">
        <f t="shared" si="3"/>
        <v>2.0429447852760738</v>
      </c>
      <c r="I82" s="10">
        <v>0.80471056835680765</v>
      </c>
      <c r="J82" s="11">
        <v>3.5660445096969909E-5</v>
      </c>
      <c r="K82" s="15">
        <v>136.44558715820313</v>
      </c>
      <c r="L82" s="15">
        <v>742.8</v>
      </c>
      <c r="M82" s="15">
        <v>0.16138376295566559</v>
      </c>
      <c r="N82" s="15">
        <f t="shared" si="4"/>
        <v>0.71077442997100593</v>
      </c>
      <c r="O82" s="15">
        <f t="shared" si="5"/>
        <v>136.44558715820313</v>
      </c>
      <c r="P82" s="15">
        <v>0.31509999999999999</v>
      </c>
      <c r="Q82" s="15">
        <v>0.67</v>
      </c>
      <c r="R82" s="15">
        <v>-1</v>
      </c>
      <c r="S82" s="16"/>
      <c r="T82">
        <v>201906</v>
      </c>
      <c r="U82" s="18">
        <v>106.58845520019531</v>
      </c>
      <c r="V82" s="2"/>
      <c r="W82" s="2"/>
      <c r="X82" s="2"/>
      <c r="Y82" s="2"/>
      <c r="Z82" s="2"/>
      <c r="AA82" s="2"/>
      <c r="AB82" s="6"/>
      <c r="AC82" s="4"/>
      <c r="AD82" s="5"/>
    </row>
    <row r="83" spans="1:30" x14ac:dyDescent="0.25">
      <c r="A83" s="7">
        <v>201406</v>
      </c>
      <c r="B83" s="7" t="s">
        <v>8</v>
      </c>
      <c r="C83" s="7" t="s">
        <v>9</v>
      </c>
      <c r="D83" s="7" t="s">
        <v>10</v>
      </c>
      <c r="E83" s="7">
        <v>80450</v>
      </c>
      <c r="F83" s="8">
        <v>12062</v>
      </c>
      <c r="G83" s="9">
        <v>4700</v>
      </c>
      <c r="H83" s="10">
        <f t="shared" si="3"/>
        <v>2.566382978723404</v>
      </c>
      <c r="I83" s="10">
        <v>0.95678741046628024</v>
      </c>
      <c r="J83" s="11">
        <v>7.251318171453457E-4</v>
      </c>
      <c r="K83" s="15">
        <v>98.767105102539063</v>
      </c>
      <c r="L83" s="15">
        <v>742.8</v>
      </c>
      <c r="M83" s="15">
        <v>0.11897207796573639</v>
      </c>
      <c r="N83" s="15">
        <f t="shared" si="4"/>
        <v>-0.3091414603869444</v>
      </c>
      <c r="O83" s="15">
        <f t="shared" si="5"/>
        <v>98.767105102539063</v>
      </c>
      <c r="P83" s="15">
        <v>0.90329999999999999</v>
      </c>
      <c r="Q83" s="15">
        <v>0.67</v>
      </c>
      <c r="R83" s="15">
        <v>-1</v>
      </c>
      <c r="S83" s="16"/>
      <c r="T83">
        <v>201907</v>
      </c>
      <c r="U83" s="18">
        <v>93.521255493164063</v>
      </c>
      <c r="V83" s="2"/>
      <c r="W83" s="2"/>
      <c r="X83" s="2"/>
      <c r="Y83" s="2"/>
      <c r="Z83" s="2"/>
      <c r="AA83" s="2"/>
      <c r="AB83" s="6"/>
      <c r="AC83" s="4"/>
      <c r="AD83" s="5"/>
    </row>
    <row r="84" spans="1:30" x14ac:dyDescent="0.25">
      <c r="A84" s="7">
        <v>201405</v>
      </c>
      <c r="B84" s="7" t="s">
        <v>8</v>
      </c>
      <c r="C84" s="7" t="s">
        <v>9</v>
      </c>
      <c r="D84" s="7" t="s">
        <v>10</v>
      </c>
      <c r="E84" s="7">
        <v>80450</v>
      </c>
      <c r="F84" s="8">
        <v>420</v>
      </c>
      <c r="G84" s="12">
        <v>500</v>
      </c>
      <c r="H84" s="10">
        <f t="shared" si="3"/>
        <v>0.84</v>
      </c>
      <c r="I84" s="10">
        <v>1.0883669651332932</v>
      </c>
      <c r="J84" s="11">
        <v>1.7834940933860438E-5</v>
      </c>
      <c r="K84" s="15">
        <v>83.428855895996094</v>
      </c>
      <c r="L84" s="15">
        <v>742.8</v>
      </c>
      <c r="M84" s="15">
        <v>0.10159924626350403</v>
      </c>
      <c r="N84" s="15">
        <f t="shared" si="4"/>
        <v>-0.72433133117081094</v>
      </c>
      <c r="O84" s="15">
        <f t="shared" si="5"/>
        <v>83.428855895996094</v>
      </c>
      <c r="P84" s="15">
        <v>1</v>
      </c>
      <c r="Q84" s="15">
        <v>0.67</v>
      </c>
      <c r="R84" s="15">
        <v>-1</v>
      </c>
      <c r="S84" s="16"/>
      <c r="T84">
        <v>201908</v>
      </c>
      <c r="U84" s="18">
        <v>103.4044189453125</v>
      </c>
      <c r="V84" s="2"/>
      <c r="W84" s="2"/>
      <c r="X84" s="2"/>
      <c r="Y84" s="2"/>
      <c r="Z84" s="2"/>
      <c r="AA84" s="2"/>
      <c r="AB84" s="6"/>
      <c r="AC84" s="4"/>
      <c r="AD84" s="5"/>
    </row>
    <row r="85" spans="1:30" x14ac:dyDescent="0.25">
      <c r="A85" s="7">
        <v>201402</v>
      </c>
      <c r="B85" s="7" t="s">
        <v>8</v>
      </c>
      <c r="C85" s="7" t="s">
        <v>9</v>
      </c>
      <c r="D85" s="7" t="s">
        <v>10</v>
      </c>
      <c r="E85" s="7">
        <v>80450</v>
      </c>
      <c r="F85" s="8">
        <v>4465</v>
      </c>
      <c r="G85" s="9">
        <v>1553</v>
      </c>
      <c r="H85" s="10">
        <f t="shared" si="3"/>
        <v>2.8750804893754025</v>
      </c>
      <c r="I85" s="10">
        <v>0.6005521892344432</v>
      </c>
      <c r="J85" s="11">
        <v>4.3692449386969979E-4</v>
      </c>
      <c r="K85" s="15">
        <v>69.003524780273438</v>
      </c>
      <c r="L85" s="15">
        <v>742.8</v>
      </c>
      <c r="M85" s="15">
        <v>0.10369141399860382</v>
      </c>
      <c r="N85" s="15">
        <f t="shared" si="4"/>
        <v>-1.1148094933978592</v>
      </c>
      <c r="O85" s="15">
        <f t="shared" si="5"/>
        <v>69.003524780273438</v>
      </c>
      <c r="P85" s="15">
        <v>0.98350000000000004</v>
      </c>
      <c r="Q85" s="15">
        <v>0.67</v>
      </c>
      <c r="R85" s="15">
        <v>-1</v>
      </c>
      <c r="S85" s="16"/>
      <c r="T85">
        <v>201909</v>
      </c>
      <c r="U85" s="18">
        <v>90.367988586425781</v>
      </c>
      <c r="V85" s="2"/>
      <c r="W85" s="2"/>
      <c r="X85" s="2"/>
      <c r="Y85" s="2"/>
      <c r="Z85" s="2"/>
      <c r="AA85" s="2"/>
      <c r="AB85" s="6"/>
      <c r="AC85" s="4"/>
      <c r="AD85" s="5"/>
    </row>
    <row r="86" spans="1:30" x14ac:dyDescent="0.25">
      <c r="A86" s="7">
        <v>201309</v>
      </c>
      <c r="B86" s="7" t="s">
        <v>8</v>
      </c>
      <c r="C86" s="7" t="s">
        <v>9</v>
      </c>
      <c r="D86" s="7" t="s">
        <v>10</v>
      </c>
      <c r="E86" s="7">
        <v>80450</v>
      </c>
      <c r="F86" s="8">
        <v>10864</v>
      </c>
      <c r="G86" s="9">
        <v>7300</v>
      </c>
      <c r="H86" s="10">
        <f t="shared" si="3"/>
        <v>1.4882191780821918</v>
      </c>
      <c r="I86" s="10">
        <v>0.86075426657052223</v>
      </c>
      <c r="J86" s="11">
        <v>7.6634747043612182E-4</v>
      </c>
      <c r="K86" s="15">
        <v>100.45932769775391</v>
      </c>
      <c r="L86" s="15">
        <v>713.7</v>
      </c>
      <c r="M86" s="15">
        <v>0.12699145078659058</v>
      </c>
      <c r="N86" s="15">
        <f t="shared" si="4"/>
        <v>-0.26333481901714068</v>
      </c>
      <c r="O86" s="15">
        <f t="shared" si="5"/>
        <v>100.45932769775391</v>
      </c>
      <c r="P86" s="15">
        <v>0.8528</v>
      </c>
      <c r="Q86" s="15">
        <v>0.94</v>
      </c>
      <c r="R86" s="15">
        <v>-1.23</v>
      </c>
      <c r="S86" s="16"/>
      <c r="T86">
        <v>201910</v>
      </c>
      <c r="U86" s="18">
        <v>97.83673095703125</v>
      </c>
      <c r="V86" s="2"/>
      <c r="W86" s="2"/>
      <c r="X86" s="2"/>
      <c r="Y86" s="2"/>
      <c r="Z86" s="2"/>
      <c r="AA86" s="2"/>
      <c r="AB86" s="6"/>
      <c r="AC86" s="4"/>
      <c r="AD86" s="5"/>
    </row>
    <row r="87" spans="1:30" x14ac:dyDescent="0.25">
      <c r="A87" s="7">
        <v>201307</v>
      </c>
      <c r="B87" s="7" t="s">
        <v>8</v>
      </c>
      <c r="C87" s="7" t="s">
        <v>9</v>
      </c>
      <c r="D87" s="7" t="s">
        <v>10</v>
      </c>
      <c r="E87" s="7">
        <v>80450</v>
      </c>
      <c r="F87" s="8">
        <v>12730</v>
      </c>
      <c r="G87" s="9">
        <v>19000</v>
      </c>
      <c r="H87" s="10">
        <f t="shared" si="3"/>
        <v>0.67</v>
      </c>
      <c r="I87" s="10">
        <v>0.58904519089667107</v>
      </c>
      <c r="J87" s="11">
        <v>6.2106973969176696E-4</v>
      </c>
      <c r="K87" s="15">
        <v>73.975814819335938</v>
      </c>
      <c r="L87" s="15">
        <v>713.7</v>
      </c>
      <c r="M87" s="15">
        <v>7.8542254865169525E-2</v>
      </c>
      <c r="N87" s="15">
        <f t="shared" si="4"/>
        <v>-0.98021496236509842</v>
      </c>
      <c r="O87" s="15">
        <f t="shared" si="5"/>
        <v>73.975814819335938</v>
      </c>
      <c r="P87" s="15">
        <v>1</v>
      </c>
      <c r="Q87" s="15">
        <v>0.94</v>
      </c>
      <c r="R87" s="15">
        <v>-1.23</v>
      </c>
      <c r="S87" s="16"/>
      <c r="T87">
        <v>201911</v>
      </c>
      <c r="U87" s="18">
        <v>73.078384399414063</v>
      </c>
      <c r="V87" s="2"/>
      <c r="W87" s="2"/>
      <c r="X87" s="2"/>
      <c r="Y87" s="2"/>
      <c r="Z87" s="2"/>
      <c r="AA87" s="2"/>
      <c r="AB87" s="6"/>
      <c r="AC87" s="4"/>
      <c r="AD87" s="5"/>
    </row>
    <row r="88" spans="1:30" x14ac:dyDescent="0.25">
      <c r="A88" s="7">
        <v>201303</v>
      </c>
      <c r="B88" s="7" t="s">
        <v>8</v>
      </c>
      <c r="C88" s="7" t="s">
        <v>9</v>
      </c>
      <c r="D88" s="7" t="s">
        <v>10</v>
      </c>
      <c r="E88" s="7">
        <v>80450</v>
      </c>
      <c r="F88" s="8">
        <v>13189</v>
      </c>
      <c r="G88" s="9">
        <v>14000</v>
      </c>
      <c r="H88" s="10">
        <f t="shared" si="3"/>
        <v>0.94207142857142856</v>
      </c>
      <c r="I88" s="10">
        <v>0.83122150359342051</v>
      </c>
      <c r="J88" s="11">
        <v>7.9754427235438467E-4</v>
      </c>
      <c r="K88" s="15">
        <v>75.896720886230469</v>
      </c>
      <c r="L88" s="15">
        <v>713.7</v>
      </c>
      <c r="M88" s="15">
        <v>9.2192046344280243E-2</v>
      </c>
      <c r="N88" s="15">
        <f t="shared" si="4"/>
        <v>-0.92821810594672227</v>
      </c>
      <c r="O88" s="15">
        <f t="shared" si="5"/>
        <v>75.896720886230469</v>
      </c>
      <c r="P88" s="15">
        <v>0.87190000000000001</v>
      </c>
      <c r="Q88" s="15">
        <v>0.94</v>
      </c>
      <c r="R88" s="15">
        <v>-1.23</v>
      </c>
      <c r="S88" s="16"/>
      <c r="T88">
        <v>201912</v>
      </c>
      <c r="U88" s="18">
        <v>74.279891967773438</v>
      </c>
      <c r="V88" s="2"/>
      <c r="W88" s="2"/>
      <c r="X88" s="2"/>
      <c r="Y88" s="2"/>
      <c r="Z88" s="2"/>
      <c r="AA88" s="2"/>
      <c r="AB88" s="6"/>
      <c r="AC88" s="4"/>
      <c r="AD88" s="5"/>
    </row>
    <row r="89" spans="1:30" x14ac:dyDescent="0.25">
      <c r="A89" s="7">
        <v>201302</v>
      </c>
      <c r="B89" s="7" t="s">
        <v>8</v>
      </c>
      <c r="C89" s="7" t="s">
        <v>9</v>
      </c>
      <c r="D89" s="7" t="s">
        <v>10</v>
      </c>
      <c r="E89" s="7">
        <v>80450</v>
      </c>
      <c r="F89" s="8">
        <v>860</v>
      </c>
      <c r="G89" s="9">
        <v>1000</v>
      </c>
      <c r="H89" s="10">
        <f t="shared" si="3"/>
        <v>0.86</v>
      </c>
      <c r="I89" s="10">
        <v>0.86039048257586914</v>
      </c>
      <c r="J89" s="11">
        <v>8.5896177290508967E-5</v>
      </c>
      <c r="K89" s="15">
        <v>81.59033203125</v>
      </c>
      <c r="L89" s="15">
        <v>713.7</v>
      </c>
      <c r="M89" s="15">
        <v>0.11446615308523178</v>
      </c>
      <c r="N89" s="15">
        <f t="shared" si="4"/>
        <v>-0.77409819018829007</v>
      </c>
      <c r="O89" s="15">
        <f t="shared" si="5"/>
        <v>81.59033203125</v>
      </c>
      <c r="P89" s="15">
        <v>0.35489999999999999</v>
      </c>
      <c r="Q89" s="15">
        <v>0.94</v>
      </c>
      <c r="R89" s="15">
        <v>-1.23</v>
      </c>
      <c r="S89" s="16"/>
      <c r="T89">
        <v>202001</v>
      </c>
      <c r="U89" s="18">
        <v>138.42094421386719</v>
      </c>
      <c r="V89" s="2"/>
      <c r="W89" s="2"/>
      <c r="X89" s="2"/>
      <c r="Y89" s="2"/>
      <c r="Z89" s="2"/>
      <c r="AA89" s="2"/>
      <c r="AB89" s="6"/>
      <c r="AC89" s="4"/>
      <c r="AD89" s="5"/>
    </row>
    <row r="90" spans="1:30" x14ac:dyDescent="0.25">
      <c r="A90" s="7">
        <v>202506</v>
      </c>
      <c r="B90" s="7" t="s">
        <v>8</v>
      </c>
      <c r="C90" s="7" t="s">
        <v>9</v>
      </c>
      <c r="D90" s="7" t="s">
        <v>12</v>
      </c>
      <c r="E90" s="7">
        <v>80450</v>
      </c>
      <c r="F90" s="13">
        <v>12656</v>
      </c>
      <c r="G90" s="9">
        <v>5150</v>
      </c>
      <c r="H90" s="10">
        <f t="shared" si="3"/>
        <v>2.4574757281553397</v>
      </c>
      <c r="I90" s="10">
        <v>1.4290056637643145</v>
      </c>
      <c r="J90" s="11">
        <v>8.9693649695271214E-4</v>
      </c>
      <c r="K90" s="15">
        <v>4.9875311553478241E-2</v>
      </c>
      <c r="L90" s="15"/>
      <c r="M90" s="15">
        <v>0.46758103370666504</v>
      </c>
      <c r="N90" s="15">
        <f>(K90-$S$90)/$S$91</f>
        <v>-0.19286517902240105</v>
      </c>
      <c r="O90" s="15">
        <f t="shared" si="5"/>
        <v>220.12001037597656</v>
      </c>
      <c r="P90" s="15">
        <v>0.11600000000000001</v>
      </c>
      <c r="Q90" s="15">
        <v>0.94</v>
      </c>
      <c r="R90" s="15">
        <v>-1.23</v>
      </c>
      <c r="S90" s="16">
        <f>AVERAGE(K90:K233)</f>
        <v>5.8129435786718711E-2</v>
      </c>
      <c r="T90">
        <v>202002</v>
      </c>
      <c r="U90" s="18">
        <v>75.955558776855469</v>
      </c>
      <c r="V90" s="2"/>
      <c r="W90" s="2"/>
      <c r="X90" s="2"/>
      <c r="Y90" s="2"/>
      <c r="Z90" s="2"/>
      <c r="AA90" s="2"/>
      <c r="AB90" s="6"/>
      <c r="AC90" s="4"/>
      <c r="AD90" s="5"/>
    </row>
    <row r="91" spans="1:30" x14ac:dyDescent="0.25">
      <c r="A91" s="7">
        <v>202505</v>
      </c>
      <c r="B91" s="7" t="s">
        <v>8</v>
      </c>
      <c r="C91" s="7" t="s">
        <v>9</v>
      </c>
      <c r="D91" s="7" t="s">
        <v>12</v>
      </c>
      <c r="E91" s="7">
        <v>80450</v>
      </c>
      <c r="F91" s="13">
        <v>11332</v>
      </c>
      <c r="G91" s="9">
        <v>5132</v>
      </c>
      <c r="H91" s="10">
        <f t="shared" si="3"/>
        <v>2.2081060015588463</v>
      </c>
      <c r="I91" s="10">
        <v>1.5528385692468156</v>
      </c>
      <c r="J91" s="11">
        <v>3.9873750950001263E-4</v>
      </c>
      <c r="K91" s="15">
        <v>9.3836136162281036E-2</v>
      </c>
      <c r="L91" s="15"/>
      <c r="M91" s="15">
        <v>0.76241862773895264</v>
      </c>
      <c r="N91" s="15">
        <f t="shared" ref="N91:N154" si="6">(K91-$S$90)/$S$91</f>
        <v>0.8343197855562775</v>
      </c>
      <c r="O91" s="15">
        <f t="shared" si="5"/>
        <v>165.22462463378906</v>
      </c>
      <c r="P91" s="15">
        <v>0.2263</v>
      </c>
      <c r="Q91" s="15"/>
      <c r="R91" s="15"/>
      <c r="S91" s="16">
        <f>_xlfn.STDEV.S(K90:K233)</f>
        <v>4.279737936665988E-2</v>
      </c>
      <c r="T91">
        <v>202003</v>
      </c>
      <c r="U91" s="18">
        <v>81.540031433105469</v>
      </c>
      <c r="V91" s="2"/>
      <c r="W91" s="2"/>
      <c r="X91" s="2"/>
      <c r="Y91" s="2"/>
      <c r="Z91" s="2"/>
      <c r="AA91" s="2"/>
      <c r="AB91" s="6"/>
      <c r="AC91" s="4"/>
      <c r="AD91" s="5"/>
    </row>
    <row r="92" spans="1:30" x14ac:dyDescent="0.25">
      <c r="A92" s="7">
        <v>202504</v>
      </c>
      <c r="B92" s="7" t="s">
        <v>8</v>
      </c>
      <c r="C92" s="7" t="s">
        <v>9</v>
      </c>
      <c r="D92" s="7" t="s">
        <v>12</v>
      </c>
      <c r="E92" s="7">
        <v>80450</v>
      </c>
      <c r="F92" s="13">
        <v>2139</v>
      </c>
      <c r="G92" s="12">
        <v>781</v>
      </c>
      <c r="H92" s="10">
        <f t="shared" si="3"/>
        <v>2.7387964148527528</v>
      </c>
      <c r="I92" s="10">
        <v>1.67215069298846</v>
      </c>
      <c r="J92" s="11">
        <v>6.8728038716730881E-5</v>
      </c>
      <c r="K92" s="15">
        <v>0.11539629846811295</v>
      </c>
      <c r="L92" s="15"/>
      <c r="M92" s="15">
        <v>0.4251442551612854</v>
      </c>
      <c r="N92" s="15">
        <f t="shared" si="6"/>
        <v>1.3380927413982364</v>
      </c>
      <c r="O92" s="15">
        <f t="shared" si="5"/>
        <v>140.52890014648438</v>
      </c>
      <c r="P92" s="15">
        <v>0.99119999999999997</v>
      </c>
      <c r="Q92" s="15"/>
      <c r="R92" s="15"/>
      <c r="S92" s="16"/>
      <c r="T92">
        <v>202004</v>
      </c>
      <c r="U92" s="18">
        <v>69.339401245117188</v>
      </c>
      <c r="V92" s="2"/>
      <c r="W92" s="2"/>
      <c r="X92" s="2"/>
      <c r="Y92" s="2"/>
      <c r="Z92" s="2"/>
      <c r="AA92" s="2"/>
      <c r="AB92" s="6"/>
      <c r="AC92" s="4"/>
      <c r="AD92" s="5"/>
    </row>
    <row r="93" spans="1:30" x14ac:dyDescent="0.25">
      <c r="A93" s="7">
        <v>202503</v>
      </c>
      <c r="B93" s="7" t="s">
        <v>8</v>
      </c>
      <c r="C93" s="7" t="s">
        <v>9</v>
      </c>
      <c r="D93" s="7" t="s">
        <v>12</v>
      </c>
      <c r="E93" s="7">
        <v>80450</v>
      </c>
      <c r="F93" s="13">
        <v>16427</v>
      </c>
      <c r="G93" s="9">
        <v>8776</v>
      </c>
      <c r="H93" s="10">
        <f t="shared" si="3"/>
        <v>1.8718094804010939</v>
      </c>
      <c r="I93" s="10">
        <v>1.5056713313796344</v>
      </c>
      <c r="J93" s="11">
        <v>1.0579222579449787E-3</v>
      </c>
      <c r="K93" s="15">
        <v>8.305155485868454E-2</v>
      </c>
      <c r="L93" s="15"/>
      <c r="M93" s="15">
        <v>0.24915465712547302</v>
      </c>
      <c r="N93" s="15">
        <f t="shared" si="6"/>
        <v>0.58232815748949152</v>
      </c>
      <c r="O93" s="15">
        <f t="shared" si="5"/>
        <v>171.87290954589844</v>
      </c>
      <c r="P93" s="15">
        <v>1</v>
      </c>
      <c r="Q93" s="15"/>
      <c r="R93" s="15"/>
      <c r="S93" s="16"/>
      <c r="T93">
        <v>202005</v>
      </c>
      <c r="U93" s="18">
        <v>68.507217407226563</v>
      </c>
      <c r="V93" s="2"/>
      <c r="W93" s="2"/>
      <c r="X93" s="2"/>
      <c r="Y93" s="2"/>
      <c r="Z93" s="2"/>
      <c r="AA93" s="2"/>
      <c r="AB93" s="6"/>
      <c r="AC93" s="4"/>
      <c r="AD93" s="5"/>
    </row>
    <row r="94" spans="1:30" x14ac:dyDescent="0.25">
      <c r="A94" s="7">
        <v>202502</v>
      </c>
      <c r="B94" s="7" t="s">
        <v>8</v>
      </c>
      <c r="C94" s="7" t="s">
        <v>9</v>
      </c>
      <c r="D94" s="7" t="s">
        <v>12</v>
      </c>
      <c r="E94" s="7">
        <v>80450</v>
      </c>
      <c r="F94" s="13">
        <v>101958</v>
      </c>
      <c r="G94" s="9">
        <v>134550</v>
      </c>
      <c r="H94" s="10">
        <f t="shared" si="3"/>
        <v>0.75777034559643253</v>
      </c>
      <c r="I94" s="10">
        <v>1.3750398449736176</v>
      </c>
      <c r="J94" s="11">
        <v>1.0646738343858802E-2</v>
      </c>
      <c r="K94" s="15">
        <v>7.4153967201709747E-2</v>
      </c>
      <c r="L94" s="15"/>
      <c r="M94" s="15">
        <v>0.20897936820983887</v>
      </c>
      <c r="N94" s="15">
        <f t="shared" si="6"/>
        <v>0.37442786572755682</v>
      </c>
      <c r="O94" s="15">
        <f t="shared" si="5"/>
        <v>136.20162963867188</v>
      </c>
      <c r="P94" s="15">
        <v>0.94010000000000005</v>
      </c>
      <c r="Q94" s="15"/>
      <c r="R94" s="15"/>
      <c r="S94" s="16"/>
      <c r="T94">
        <v>202006</v>
      </c>
      <c r="U94" s="18">
        <v>71.227859497070313</v>
      </c>
      <c r="V94" s="2"/>
      <c r="W94" s="2"/>
      <c r="X94" s="2"/>
      <c r="Y94" s="2"/>
      <c r="Z94" s="2"/>
      <c r="AA94" s="2"/>
      <c r="AB94" s="6"/>
      <c r="AC94" s="4"/>
      <c r="AD94" s="5"/>
    </row>
    <row r="95" spans="1:30" x14ac:dyDescent="0.25">
      <c r="A95" s="7">
        <v>202501</v>
      </c>
      <c r="B95" s="7" t="s">
        <v>8</v>
      </c>
      <c r="C95" s="7" t="s">
        <v>9</v>
      </c>
      <c r="D95" s="7" t="s">
        <v>12</v>
      </c>
      <c r="E95" s="7">
        <v>80450</v>
      </c>
      <c r="F95" s="13">
        <v>18862</v>
      </c>
      <c r="G95" s="9">
        <v>8792</v>
      </c>
      <c r="H95" s="10">
        <f t="shared" si="3"/>
        <v>2.1453594176524113</v>
      </c>
      <c r="I95" s="10">
        <v>1.2166638920981399</v>
      </c>
      <c r="J95" s="11">
        <v>2.5808563183295119E-3</v>
      </c>
      <c r="K95" s="15">
        <v>8.1560954451560974E-2</v>
      </c>
      <c r="L95" s="15"/>
      <c r="M95" s="15">
        <v>0.23840893805027008</v>
      </c>
      <c r="N95" s="15">
        <f t="shared" si="6"/>
        <v>0.5474989125875297</v>
      </c>
      <c r="O95" s="15">
        <f t="shared" si="5"/>
        <v>112.32621765136719</v>
      </c>
      <c r="P95" s="15">
        <v>0.27229999999999999</v>
      </c>
      <c r="Q95" s="15"/>
      <c r="R95" s="15"/>
      <c r="S95" s="16"/>
      <c r="T95">
        <v>202007</v>
      </c>
      <c r="U95" s="18">
        <v>66.473281860351563</v>
      </c>
      <c r="V95" s="2"/>
      <c r="W95" s="2"/>
      <c r="X95" s="2"/>
      <c r="Y95" s="2"/>
      <c r="Z95" s="2"/>
      <c r="AA95" s="2"/>
      <c r="AB95" s="6"/>
      <c r="AC95" s="4"/>
      <c r="AD95" s="5"/>
    </row>
    <row r="96" spans="1:30" x14ac:dyDescent="0.25">
      <c r="A96" s="7">
        <v>202412</v>
      </c>
      <c r="B96" s="7" t="s">
        <v>8</v>
      </c>
      <c r="C96" s="7" t="s">
        <v>9</v>
      </c>
      <c r="D96" s="7" t="s">
        <v>12</v>
      </c>
      <c r="E96" s="7">
        <v>80450</v>
      </c>
      <c r="F96" s="13">
        <v>8426</v>
      </c>
      <c r="G96" s="9">
        <v>5062</v>
      </c>
      <c r="H96" s="10">
        <f t="shared" si="3"/>
        <v>1.6645594626629792</v>
      </c>
      <c r="I96" s="10">
        <v>1.2264705277446424</v>
      </c>
      <c r="J96" s="11">
        <v>7.8498076349953108E-4</v>
      </c>
      <c r="K96" s="15">
        <v>0.10431879758834839</v>
      </c>
      <c r="L96" s="15">
        <v>833.3</v>
      </c>
      <c r="M96" s="15">
        <v>0.19472841918468475</v>
      </c>
      <c r="N96" s="15">
        <f t="shared" si="6"/>
        <v>1.0792567789235299</v>
      </c>
      <c r="O96" s="15">
        <f t="shared" si="5"/>
        <v>141.9027099609375</v>
      </c>
      <c r="P96" s="15">
        <v>0.63500000000000001</v>
      </c>
      <c r="Q96" s="15"/>
      <c r="R96" s="15"/>
      <c r="S96" s="16"/>
      <c r="T96">
        <v>202008</v>
      </c>
      <c r="U96" s="18">
        <v>65.466049194335938</v>
      </c>
      <c r="V96" s="2"/>
      <c r="W96" s="2"/>
      <c r="X96" s="2"/>
      <c r="Y96" s="2"/>
      <c r="Z96" s="2"/>
      <c r="AA96" s="2"/>
      <c r="AB96" s="6"/>
      <c r="AC96" s="4"/>
      <c r="AD96" s="5"/>
    </row>
    <row r="97" spans="1:30" x14ac:dyDescent="0.25">
      <c r="A97" s="7">
        <v>202411</v>
      </c>
      <c r="B97" s="7" t="s">
        <v>8</v>
      </c>
      <c r="C97" s="7" t="s">
        <v>9</v>
      </c>
      <c r="D97" s="7" t="s">
        <v>12</v>
      </c>
      <c r="E97" s="7">
        <v>80450</v>
      </c>
      <c r="F97" s="13">
        <v>11405</v>
      </c>
      <c r="G97" s="9">
        <v>4705</v>
      </c>
      <c r="H97" s="10">
        <f t="shared" si="3"/>
        <v>2.4240170031880979</v>
      </c>
      <c r="I97" s="10">
        <v>1.1506151515959919</v>
      </c>
      <c r="J97" s="11">
        <v>1.1857758878373497E-3</v>
      </c>
      <c r="K97" s="15">
        <v>9.4452492892742157E-2</v>
      </c>
      <c r="L97" s="15">
        <v>833.3</v>
      </c>
      <c r="M97" s="15">
        <v>0.18260814249515533</v>
      </c>
      <c r="N97" s="15">
        <f t="shared" si="6"/>
        <v>0.84872152555957492</v>
      </c>
      <c r="O97" s="15">
        <f t="shared" si="5"/>
        <v>128.48176574707031</v>
      </c>
      <c r="P97" s="15">
        <v>0.15720000000000001</v>
      </c>
      <c r="Q97" s="15"/>
      <c r="R97" s="15"/>
      <c r="S97" s="16"/>
      <c r="T97">
        <v>202009</v>
      </c>
      <c r="U97" s="18">
        <v>80.37738037109375</v>
      </c>
      <c r="V97" s="2"/>
      <c r="W97" s="2"/>
      <c r="X97" s="2"/>
      <c r="Y97" s="2"/>
      <c r="Z97" s="2"/>
      <c r="AA97" s="2"/>
      <c r="AB97" s="6"/>
      <c r="AC97" s="4"/>
      <c r="AD97" s="5"/>
    </row>
    <row r="98" spans="1:30" x14ac:dyDescent="0.25">
      <c r="A98" s="7">
        <v>202410</v>
      </c>
      <c r="B98" s="7" t="s">
        <v>8</v>
      </c>
      <c r="C98" s="7" t="s">
        <v>9</v>
      </c>
      <c r="D98" s="7" t="s">
        <v>12</v>
      </c>
      <c r="E98" s="7">
        <v>80450</v>
      </c>
      <c r="F98" s="13">
        <v>4962</v>
      </c>
      <c r="G98" s="9">
        <v>2301</v>
      </c>
      <c r="H98" s="10">
        <f t="shared" si="3"/>
        <v>2.1564537157757497</v>
      </c>
      <c r="I98" s="10">
        <v>1.324516762504697</v>
      </c>
      <c r="J98" s="11">
        <v>4.4280703608065266E-4</v>
      </c>
      <c r="K98" s="15">
        <v>0.15456905961036682</v>
      </c>
      <c r="L98" s="15">
        <v>833.3</v>
      </c>
      <c r="M98" s="15">
        <v>0.26585879921913147</v>
      </c>
      <c r="N98" s="15">
        <f t="shared" si="6"/>
        <v>2.2534002140041487</v>
      </c>
      <c r="O98" s="15">
        <f t="shared" si="5"/>
        <v>130.689208984375</v>
      </c>
      <c r="P98" s="15">
        <v>3.6600000000000001E-2</v>
      </c>
      <c r="Q98" s="15"/>
      <c r="R98" s="15"/>
      <c r="S98" s="16"/>
      <c r="T98">
        <v>202010</v>
      </c>
      <c r="U98" s="18">
        <v>76.083168029785156</v>
      </c>
      <c r="V98" s="2"/>
      <c r="W98" s="2"/>
      <c r="X98" s="2"/>
      <c r="Y98" s="2"/>
      <c r="Z98" s="2"/>
      <c r="AA98" s="2"/>
      <c r="AB98" s="6"/>
      <c r="AC98" s="4"/>
      <c r="AD98" s="5"/>
    </row>
    <row r="99" spans="1:30" x14ac:dyDescent="0.25">
      <c r="A99" s="7">
        <v>202409</v>
      </c>
      <c r="B99" s="7" t="s">
        <v>8</v>
      </c>
      <c r="C99" s="7" t="s">
        <v>9</v>
      </c>
      <c r="D99" s="7" t="s">
        <v>12</v>
      </c>
      <c r="E99" s="7">
        <v>80450</v>
      </c>
      <c r="F99" s="13">
        <v>7498</v>
      </c>
      <c r="G99" s="9">
        <v>2914</v>
      </c>
      <c r="H99" s="10">
        <f t="shared" si="3"/>
        <v>2.5730954015099519</v>
      </c>
      <c r="I99" s="10">
        <v>1.4878749011739683</v>
      </c>
      <c r="J99" s="11">
        <v>9.9654651046573203E-4</v>
      </c>
      <c r="K99" s="15">
        <v>7.156333327293396E-2</v>
      </c>
      <c r="L99" s="15">
        <v>833.3</v>
      </c>
      <c r="M99" s="15">
        <v>0.16914969682693481</v>
      </c>
      <c r="N99" s="15">
        <f t="shared" si="6"/>
        <v>0.31389532922383928</v>
      </c>
      <c r="O99" s="15">
        <f t="shared" si="5"/>
        <v>130.14187622070313</v>
      </c>
      <c r="P99" s="15">
        <v>0.16439999999999999</v>
      </c>
      <c r="Q99" s="15"/>
      <c r="R99" s="15"/>
      <c r="S99" s="16"/>
      <c r="T99">
        <v>202011</v>
      </c>
      <c r="U99" s="18">
        <v>70.067466735839844</v>
      </c>
      <c r="V99" s="2"/>
      <c r="W99" s="2"/>
      <c r="X99" s="2"/>
      <c r="Y99" s="2"/>
      <c r="Z99" s="2"/>
      <c r="AA99" s="2"/>
      <c r="AB99" s="6"/>
      <c r="AC99" s="4"/>
      <c r="AD99" s="5"/>
    </row>
    <row r="100" spans="1:30" x14ac:dyDescent="0.25">
      <c r="A100" s="7">
        <v>202408</v>
      </c>
      <c r="B100" s="7" t="s">
        <v>8</v>
      </c>
      <c r="C100" s="7" t="s">
        <v>9</v>
      </c>
      <c r="D100" s="7" t="s">
        <v>12</v>
      </c>
      <c r="E100" s="7">
        <v>80450</v>
      </c>
      <c r="F100" s="13">
        <v>3560</v>
      </c>
      <c r="G100" s="9">
        <v>1751</v>
      </c>
      <c r="H100" s="10">
        <f t="shared" si="3"/>
        <v>2.0331239291833239</v>
      </c>
      <c r="I100" s="10">
        <v>1.2541432962043835</v>
      </c>
      <c r="J100" s="11">
        <v>3.6645578988824949E-4</v>
      </c>
      <c r="K100" s="15">
        <v>6.9629065692424774E-2</v>
      </c>
      <c r="L100" s="15">
        <v>833.3</v>
      </c>
      <c r="M100" s="15">
        <v>0.2278769463300705</v>
      </c>
      <c r="N100" s="15">
        <f t="shared" si="6"/>
        <v>0.26869939411908322</v>
      </c>
      <c r="O100" s="15">
        <f t="shared" si="5"/>
        <v>140.76402282714844</v>
      </c>
      <c r="P100" s="15">
        <v>0.14460000000000001</v>
      </c>
      <c r="Q100" s="15"/>
      <c r="R100" s="15"/>
      <c r="S100" s="16"/>
      <c r="T100">
        <v>202012</v>
      </c>
      <c r="U100" s="18">
        <v>64.067291259765625</v>
      </c>
      <c r="V100" s="2"/>
      <c r="W100" s="2"/>
      <c r="X100" s="2"/>
      <c r="Y100" s="2"/>
      <c r="Z100" s="2"/>
      <c r="AA100" s="2"/>
      <c r="AB100" s="6"/>
      <c r="AC100" s="4"/>
      <c r="AD100" s="5"/>
    </row>
    <row r="101" spans="1:30" x14ac:dyDescent="0.25">
      <c r="A101" s="7">
        <v>202407</v>
      </c>
      <c r="B101" s="7" t="s">
        <v>8</v>
      </c>
      <c r="C101" s="7" t="s">
        <v>9</v>
      </c>
      <c r="D101" s="7" t="s">
        <v>12</v>
      </c>
      <c r="E101" s="7">
        <v>80450</v>
      </c>
      <c r="F101" s="13">
        <v>12171</v>
      </c>
      <c r="G101" s="9">
        <v>6161</v>
      </c>
      <c r="H101" s="10">
        <f t="shared" si="3"/>
        <v>1.9754909917221231</v>
      </c>
      <c r="I101" s="10">
        <v>0.97456241577176606</v>
      </c>
      <c r="J101" s="11">
        <v>1.3407467489011903E-3</v>
      </c>
      <c r="K101" s="15">
        <v>5.5425543338060379E-2</v>
      </c>
      <c r="L101" s="15">
        <v>833.3</v>
      </c>
      <c r="M101" s="15">
        <v>0.16011823713779449</v>
      </c>
      <c r="N101" s="15">
        <f t="shared" si="6"/>
        <v>-6.3178925641524802E-2</v>
      </c>
      <c r="O101" s="15">
        <f t="shared" si="5"/>
        <v>92.394874572753906</v>
      </c>
      <c r="P101" s="19">
        <v>0.92059999999999997</v>
      </c>
      <c r="Q101" s="19"/>
      <c r="R101" s="19"/>
      <c r="S101" s="16"/>
      <c r="T101">
        <v>202101</v>
      </c>
      <c r="U101" s="18">
        <v>77.418701171875</v>
      </c>
      <c r="V101" s="2"/>
      <c r="W101" s="2"/>
      <c r="X101" s="2"/>
      <c r="Y101" s="2"/>
      <c r="Z101" s="2"/>
      <c r="AA101" s="2"/>
      <c r="AB101" s="6"/>
      <c r="AC101" s="4"/>
      <c r="AD101" s="5"/>
    </row>
    <row r="102" spans="1:30" x14ac:dyDescent="0.25">
      <c r="A102" s="7">
        <v>202406</v>
      </c>
      <c r="B102" s="7" t="s">
        <v>8</v>
      </c>
      <c r="C102" s="7" t="s">
        <v>9</v>
      </c>
      <c r="D102" s="7" t="s">
        <v>12</v>
      </c>
      <c r="E102" s="7">
        <v>80450</v>
      </c>
      <c r="F102" s="13">
        <v>2545</v>
      </c>
      <c r="G102" s="9">
        <v>2822</v>
      </c>
      <c r="H102" s="10">
        <f t="shared" si="3"/>
        <v>0.90184266477675412</v>
      </c>
      <c r="I102" s="10">
        <v>1.6192706135885626</v>
      </c>
      <c r="J102" s="11">
        <v>1.7692473253429629E-4</v>
      </c>
      <c r="K102" s="15">
        <v>0.1141263023018837</v>
      </c>
      <c r="L102" s="15">
        <v>833.3</v>
      </c>
      <c r="M102" s="15">
        <v>0.19021050631999969</v>
      </c>
      <c r="N102" s="15">
        <f t="shared" si="6"/>
        <v>1.3084181168061848</v>
      </c>
      <c r="O102" s="15">
        <f t="shared" si="5"/>
        <v>112.88140869140625</v>
      </c>
      <c r="P102" s="15">
        <v>1</v>
      </c>
      <c r="Q102" s="15"/>
      <c r="R102" s="15"/>
      <c r="S102" s="16"/>
      <c r="T102">
        <v>202102</v>
      </c>
      <c r="U102" s="18">
        <v>73.956802368164063</v>
      </c>
      <c r="V102" s="2"/>
      <c r="W102" s="2"/>
      <c r="X102" s="2"/>
      <c r="Y102" s="2"/>
      <c r="Z102" s="2"/>
      <c r="AA102" s="2"/>
      <c r="AB102" s="6"/>
      <c r="AC102" s="4"/>
      <c r="AD102" s="5"/>
    </row>
    <row r="103" spans="1:30" x14ac:dyDescent="0.25">
      <c r="A103" s="7">
        <v>202405</v>
      </c>
      <c r="B103" s="7" t="s">
        <v>8</v>
      </c>
      <c r="C103" s="7" t="s">
        <v>9</v>
      </c>
      <c r="D103" s="7" t="s">
        <v>12</v>
      </c>
      <c r="E103" s="7">
        <v>80450</v>
      </c>
      <c r="F103" s="13">
        <v>28232</v>
      </c>
      <c r="G103" s="9">
        <v>11698</v>
      </c>
      <c r="H103" s="10">
        <f t="shared" si="3"/>
        <v>2.4134040006838777</v>
      </c>
      <c r="I103" s="10">
        <v>1.7477124868596796</v>
      </c>
      <c r="J103" s="11">
        <v>9.6604673535092883E-4</v>
      </c>
      <c r="K103" s="15">
        <v>0.18350867927074432</v>
      </c>
      <c r="L103" s="15">
        <v>833.3</v>
      </c>
      <c r="M103" s="15">
        <v>0.13457304239273071</v>
      </c>
      <c r="N103" s="15">
        <f t="shared" si="6"/>
        <v>2.92960095546642</v>
      </c>
      <c r="O103" s="15">
        <f t="shared" si="5"/>
        <v>130.52186584472656</v>
      </c>
      <c r="P103" s="15">
        <v>0.79730000000000001</v>
      </c>
      <c r="Q103" s="15"/>
      <c r="R103" s="15"/>
      <c r="S103" s="16"/>
      <c r="T103">
        <v>202103</v>
      </c>
      <c r="U103" s="18">
        <v>78.618766784667969</v>
      </c>
      <c r="V103" s="2"/>
      <c r="W103" s="2"/>
      <c r="X103" s="2"/>
      <c r="Y103" s="2"/>
      <c r="Z103" s="2"/>
      <c r="AA103" s="2"/>
      <c r="AB103" s="6"/>
      <c r="AC103" s="4"/>
      <c r="AD103" s="5"/>
    </row>
    <row r="104" spans="1:30" x14ac:dyDescent="0.25">
      <c r="A104" s="7">
        <v>202404</v>
      </c>
      <c r="B104" s="7" t="s">
        <v>8</v>
      </c>
      <c r="C104" s="7" t="s">
        <v>9</v>
      </c>
      <c r="D104" s="7" t="s">
        <v>12</v>
      </c>
      <c r="E104" s="7">
        <v>80450</v>
      </c>
      <c r="F104" s="13">
        <v>16244</v>
      </c>
      <c r="G104" s="9">
        <v>8060</v>
      </c>
      <c r="H104" s="10">
        <f t="shared" si="3"/>
        <v>2.0153846153846153</v>
      </c>
      <c r="I104" s="10">
        <v>1.8074611014830866</v>
      </c>
      <c r="J104" s="11">
        <v>7.6903189422961439E-4</v>
      </c>
      <c r="K104" s="15">
        <v>0.13923169672489166</v>
      </c>
      <c r="L104" s="15">
        <v>833.3</v>
      </c>
      <c r="M104" s="15">
        <v>0.24681982398033142</v>
      </c>
      <c r="N104" s="15">
        <f t="shared" si="6"/>
        <v>1.8950286708758957</v>
      </c>
      <c r="O104" s="15">
        <f t="shared" si="5"/>
        <v>163.73634338378906</v>
      </c>
      <c r="P104" s="15">
        <v>0.77049999999999996</v>
      </c>
      <c r="Q104" s="15"/>
      <c r="R104" s="15"/>
      <c r="S104" s="16"/>
      <c r="T104">
        <v>202104</v>
      </c>
      <c r="U104" s="18">
        <v>88.166221618652344</v>
      </c>
      <c r="V104" s="2"/>
      <c r="W104" s="2"/>
      <c r="X104" s="2"/>
      <c r="Y104" s="2"/>
      <c r="Z104" s="2"/>
      <c r="AA104" s="2"/>
      <c r="AB104" s="6"/>
      <c r="AC104" s="4"/>
      <c r="AD104" s="5"/>
    </row>
    <row r="105" spans="1:30" x14ac:dyDescent="0.25">
      <c r="A105" s="7">
        <v>202403</v>
      </c>
      <c r="B105" s="7" t="s">
        <v>8</v>
      </c>
      <c r="C105" s="7" t="s">
        <v>9</v>
      </c>
      <c r="D105" s="7" t="s">
        <v>12</v>
      </c>
      <c r="E105" s="7">
        <v>80450</v>
      </c>
      <c r="F105" s="13">
        <v>25834</v>
      </c>
      <c r="G105" s="9">
        <v>10030</v>
      </c>
      <c r="H105" s="10">
        <f t="shared" si="3"/>
        <v>2.5756729810568295</v>
      </c>
      <c r="I105" s="10">
        <v>1.7848654856801263</v>
      </c>
      <c r="J105" s="11">
        <v>1.3625750928720403E-3</v>
      </c>
      <c r="K105" s="15">
        <v>0.11679370701313019</v>
      </c>
      <c r="L105" s="15">
        <v>833.3</v>
      </c>
      <c r="M105" s="15">
        <v>0.23973444104194641</v>
      </c>
      <c r="N105" s="15">
        <f t="shared" si="6"/>
        <v>1.3707444730158469</v>
      </c>
      <c r="O105" s="15">
        <f t="shared" si="5"/>
        <v>133.21316528320313</v>
      </c>
      <c r="P105" s="15">
        <v>0.7329</v>
      </c>
      <c r="Q105" s="15"/>
      <c r="R105" s="15"/>
      <c r="S105" s="16"/>
      <c r="T105">
        <v>202105</v>
      </c>
      <c r="U105" s="18">
        <v>93.007133483886719</v>
      </c>
      <c r="V105" s="2"/>
      <c r="W105" s="2"/>
      <c r="X105" s="2"/>
      <c r="Y105" s="2"/>
      <c r="Z105" s="2"/>
      <c r="AA105" s="2"/>
      <c r="AB105" s="6"/>
      <c r="AC105" s="4"/>
      <c r="AD105" s="5"/>
    </row>
    <row r="106" spans="1:30" x14ac:dyDescent="0.25">
      <c r="A106" s="7">
        <v>202402</v>
      </c>
      <c r="B106" s="7" t="s">
        <v>8</v>
      </c>
      <c r="C106" s="7" t="s">
        <v>9</v>
      </c>
      <c r="D106" s="7" t="s">
        <v>12</v>
      </c>
      <c r="E106" s="7">
        <v>80450</v>
      </c>
      <c r="F106" s="13">
        <v>9200</v>
      </c>
      <c r="G106" s="9">
        <v>4881</v>
      </c>
      <c r="H106" s="10">
        <f t="shared" si="3"/>
        <v>1.884859659905757</v>
      </c>
      <c r="I106" s="10">
        <v>1.3907869258462995</v>
      </c>
      <c r="J106" s="11">
        <v>1.0542323475382356E-3</v>
      </c>
      <c r="K106" s="15">
        <v>0.12432114034891129</v>
      </c>
      <c r="L106" s="15">
        <v>833.3</v>
      </c>
      <c r="M106" s="15">
        <v>0.21592618525028229</v>
      </c>
      <c r="N106" s="15">
        <f t="shared" si="6"/>
        <v>1.546629853082953</v>
      </c>
      <c r="O106" s="15">
        <f t="shared" si="5"/>
        <v>146.59817504882813</v>
      </c>
      <c r="P106" s="15">
        <v>0.67069999999999996</v>
      </c>
      <c r="Q106" s="15"/>
      <c r="R106" s="15"/>
      <c r="S106" s="16"/>
      <c r="T106">
        <v>202106</v>
      </c>
      <c r="U106" s="18">
        <v>74.127120971679688</v>
      </c>
      <c r="V106" s="2"/>
      <c r="W106" s="2"/>
      <c r="X106" s="2"/>
      <c r="Y106" s="2"/>
      <c r="Z106" s="2"/>
      <c r="AA106" s="2"/>
      <c r="AB106" s="6"/>
      <c r="AC106" s="3"/>
      <c r="AD106" s="5"/>
    </row>
    <row r="107" spans="1:30" x14ac:dyDescent="0.25">
      <c r="A107" s="7">
        <v>202401</v>
      </c>
      <c r="B107" s="7" t="s">
        <v>8</v>
      </c>
      <c r="C107" s="7" t="s">
        <v>9</v>
      </c>
      <c r="D107" s="7" t="s">
        <v>12</v>
      </c>
      <c r="E107" s="7">
        <v>80450</v>
      </c>
      <c r="F107" s="13">
        <v>2050</v>
      </c>
      <c r="G107" s="9">
        <v>1077</v>
      </c>
      <c r="H107" s="10">
        <f t="shared" si="3"/>
        <v>1.903435468895079</v>
      </c>
      <c r="I107" s="10">
        <v>1.2305021716092799</v>
      </c>
      <c r="J107" s="11">
        <v>3.0752447894852428E-4</v>
      </c>
      <c r="K107" s="15">
        <v>0.31942877173423767</v>
      </c>
      <c r="L107" s="15">
        <v>833.3</v>
      </c>
      <c r="M107" s="15">
        <v>0.27558562159538269</v>
      </c>
      <c r="N107" s="15">
        <f t="shared" si="6"/>
        <v>6.105498509824109</v>
      </c>
      <c r="O107" s="15">
        <f t="shared" si="5"/>
        <v>160.16484069824219</v>
      </c>
      <c r="P107" s="15">
        <v>0.1129</v>
      </c>
      <c r="Q107" s="15"/>
      <c r="R107" s="15"/>
      <c r="S107" s="16"/>
      <c r="T107">
        <v>202107</v>
      </c>
      <c r="U107" s="18">
        <v>58.420768737792969</v>
      </c>
      <c r="V107" s="2"/>
      <c r="W107" s="2"/>
      <c r="X107" s="2"/>
      <c r="Y107" s="2"/>
      <c r="Z107" s="2"/>
      <c r="AA107" s="2"/>
      <c r="AB107" s="6"/>
      <c r="AC107" s="4"/>
      <c r="AD107" s="5"/>
    </row>
    <row r="108" spans="1:30" x14ac:dyDescent="0.25">
      <c r="A108" s="7">
        <v>202312</v>
      </c>
      <c r="B108" s="7" t="s">
        <v>8</v>
      </c>
      <c r="C108" s="7" t="s">
        <v>9</v>
      </c>
      <c r="D108" s="7" t="s">
        <v>12</v>
      </c>
      <c r="E108" s="7">
        <v>80450</v>
      </c>
      <c r="F108" s="13">
        <v>5993</v>
      </c>
      <c r="G108" s="9">
        <v>2467</v>
      </c>
      <c r="H108" s="10">
        <f t="shared" si="3"/>
        <v>2.4292663153627889</v>
      </c>
      <c r="I108" s="10">
        <v>1.23</v>
      </c>
      <c r="J108" s="11">
        <v>9.791429321581223E-4</v>
      </c>
      <c r="K108" s="15">
        <v>0.11585994064807892</v>
      </c>
      <c r="L108" s="15">
        <v>825.6</v>
      </c>
      <c r="M108" s="15">
        <v>0.22528322041034698</v>
      </c>
      <c r="N108" s="15">
        <f t="shared" si="6"/>
        <v>1.3489261659402811</v>
      </c>
      <c r="O108" s="15">
        <f t="shared" si="5"/>
        <v>142.27946472167969</v>
      </c>
      <c r="P108" s="15">
        <v>9.2999999999999992E-3</v>
      </c>
      <c r="Q108" s="15">
        <v>-0.67</v>
      </c>
      <c r="R108" s="15">
        <v>-0.64</v>
      </c>
      <c r="S108" s="16"/>
      <c r="T108">
        <v>202108</v>
      </c>
      <c r="U108" s="18">
        <v>89.486549377441406</v>
      </c>
      <c r="V108" s="2"/>
      <c r="W108" s="2"/>
      <c r="X108" s="2"/>
      <c r="Y108" s="2"/>
      <c r="Z108" s="2"/>
      <c r="AA108" s="2"/>
      <c r="AB108" s="6"/>
      <c r="AC108" s="4"/>
      <c r="AD108" s="5"/>
    </row>
    <row r="109" spans="1:30" x14ac:dyDescent="0.25">
      <c r="A109" s="7">
        <v>202311</v>
      </c>
      <c r="B109" s="7" t="s">
        <v>8</v>
      </c>
      <c r="C109" s="7" t="s">
        <v>9</v>
      </c>
      <c r="D109" s="7" t="s">
        <v>12</v>
      </c>
      <c r="E109" s="7">
        <v>80450</v>
      </c>
      <c r="F109" s="13">
        <v>6050</v>
      </c>
      <c r="G109" s="9">
        <v>2918</v>
      </c>
      <c r="H109" s="10">
        <f t="shared" si="3"/>
        <v>2.0733379026730638</v>
      </c>
      <c r="I109" s="10">
        <v>1.2431353759588117</v>
      </c>
      <c r="J109" s="11">
        <v>1.4296733066523999E-3</v>
      </c>
      <c r="K109" s="15">
        <v>5.6323926895856857E-2</v>
      </c>
      <c r="L109" s="15">
        <v>825.6</v>
      </c>
      <c r="M109" s="15">
        <v>0.25032857060432434</v>
      </c>
      <c r="N109" s="15">
        <f t="shared" si="6"/>
        <v>-4.2187370291845154E-2</v>
      </c>
      <c r="O109" s="15">
        <f t="shared" si="5"/>
        <v>156.69613647460938</v>
      </c>
      <c r="P109" s="15">
        <v>7.7999999999999996E-3</v>
      </c>
      <c r="Q109" s="15">
        <v>-0.67</v>
      </c>
      <c r="R109" s="15">
        <v>-0.64</v>
      </c>
      <c r="S109" s="16"/>
      <c r="T109">
        <v>202109</v>
      </c>
      <c r="U109" s="18">
        <v>80.696968078613281</v>
      </c>
      <c r="V109" s="2"/>
      <c r="W109" s="2"/>
      <c r="X109" s="2"/>
      <c r="Y109" s="2"/>
      <c r="Z109" s="2"/>
      <c r="AA109" s="2"/>
      <c r="AB109" s="6"/>
      <c r="AC109" s="4"/>
      <c r="AD109" s="5"/>
    </row>
    <row r="110" spans="1:30" x14ac:dyDescent="0.25">
      <c r="A110" s="7">
        <v>202310</v>
      </c>
      <c r="B110" s="7" t="s">
        <v>8</v>
      </c>
      <c r="C110" s="7" t="s">
        <v>9</v>
      </c>
      <c r="D110" s="7" t="s">
        <v>12</v>
      </c>
      <c r="E110" s="7">
        <v>80450</v>
      </c>
      <c r="F110" s="13">
        <v>16565</v>
      </c>
      <c r="G110" s="9">
        <v>5661</v>
      </c>
      <c r="H110" s="10">
        <f t="shared" si="3"/>
        <v>2.9261614555732205</v>
      </c>
      <c r="I110" s="10">
        <v>1.2663608343959361</v>
      </c>
      <c r="J110" s="11">
        <v>2.1508213306942652E-3</v>
      </c>
      <c r="K110" s="15">
        <v>6.5683409571647644E-2</v>
      </c>
      <c r="L110" s="15">
        <v>825.6</v>
      </c>
      <c r="M110" s="15">
        <v>0.22093509137630463</v>
      </c>
      <c r="N110" s="15">
        <f t="shared" si="6"/>
        <v>0.17650552199029385</v>
      </c>
      <c r="O110" s="15">
        <f t="shared" si="5"/>
        <v>197.88700866699219</v>
      </c>
      <c r="P110" s="15">
        <v>7.8700000000000006E-2</v>
      </c>
      <c r="Q110" s="15">
        <v>-0.67</v>
      </c>
      <c r="R110" s="15">
        <v>-0.64</v>
      </c>
      <c r="S110" s="16"/>
      <c r="T110">
        <v>202110</v>
      </c>
      <c r="U110" s="18">
        <v>79.02923583984375</v>
      </c>
      <c r="V110" s="2"/>
      <c r="W110" s="2"/>
      <c r="X110" s="2"/>
      <c r="Y110" s="2"/>
      <c r="Z110" s="2"/>
      <c r="AA110" s="2"/>
      <c r="AB110" s="6"/>
      <c r="AC110" s="4"/>
      <c r="AD110" s="5"/>
    </row>
    <row r="111" spans="1:30" x14ac:dyDescent="0.25">
      <c r="A111" s="7">
        <v>202309</v>
      </c>
      <c r="B111" s="7" t="s">
        <v>8</v>
      </c>
      <c r="C111" s="7" t="s">
        <v>9</v>
      </c>
      <c r="D111" s="7" t="s">
        <v>12</v>
      </c>
      <c r="E111" s="7">
        <v>80450</v>
      </c>
      <c r="F111" s="13">
        <v>9181</v>
      </c>
      <c r="G111" s="9">
        <v>4381</v>
      </c>
      <c r="H111" s="10">
        <f t="shared" si="3"/>
        <v>2.0956402647797305</v>
      </c>
      <c r="I111" s="10">
        <v>1.1297711338462666</v>
      </c>
      <c r="J111" s="11">
        <v>1.0459307245482595E-3</v>
      </c>
      <c r="K111" s="15">
        <v>0.11494947969913483</v>
      </c>
      <c r="L111" s="15">
        <v>825.6</v>
      </c>
      <c r="M111" s="15">
        <v>0.45979791879653931</v>
      </c>
      <c r="N111" s="15">
        <f t="shared" si="6"/>
        <v>1.3276524112754484</v>
      </c>
      <c r="O111" s="15">
        <f t="shared" si="5"/>
        <v>98.634811401367188</v>
      </c>
      <c r="P111" s="15">
        <v>0.1145</v>
      </c>
      <c r="Q111" s="15">
        <v>-0.67</v>
      </c>
      <c r="R111" s="15">
        <v>-0.64</v>
      </c>
      <c r="S111" s="16"/>
      <c r="T111">
        <v>202111</v>
      </c>
      <c r="U111" s="18">
        <v>86.569145202636719</v>
      </c>
      <c r="V111" s="2"/>
      <c r="W111" s="2"/>
      <c r="X111" s="2"/>
      <c r="Y111" s="2"/>
      <c r="Z111" s="2"/>
      <c r="AA111" s="2"/>
      <c r="AB111" s="6"/>
      <c r="AC111" s="4"/>
      <c r="AD111" s="5"/>
    </row>
    <row r="112" spans="1:30" x14ac:dyDescent="0.25">
      <c r="A112" s="7">
        <v>202308</v>
      </c>
      <c r="B112" s="7" t="s">
        <v>8</v>
      </c>
      <c r="C112" s="7" t="s">
        <v>9</v>
      </c>
      <c r="D112" s="7" t="s">
        <v>12</v>
      </c>
      <c r="E112" s="7">
        <v>80450</v>
      </c>
      <c r="F112" s="13">
        <v>12766</v>
      </c>
      <c r="G112" s="9">
        <v>5369</v>
      </c>
      <c r="H112" s="10">
        <f t="shared" si="3"/>
        <v>2.3777239709443099</v>
      </c>
      <c r="I112" s="10">
        <v>1.107236127349678</v>
      </c>
      <c r="J112" s="11">
        <v>1.0280774838306911E-3</v>
      </c>
      <c r="K112" s="15">
        <v>0.13347893953323364</v>
      </c>
      <c r="L112" s="15">
        <v>825.6</v>
      </c>
      <c r="M112" s="15">
        <v>0.31549569964408875</v>
      </c>
      <c r="N112" s="15">
        <f t="shared" si="6"/>
        <v>1.7606102257096117</v>
      </c>
      <c r="O112" s="15">
        <f t="shared" si="5"/>
        <v>101.14118194580078</v>
      </c>
      <c r="P112" s="15">
        <v>7.1099999999999997E-2</v>
      </c>
      <c r="Q112" s="15">
        <v>-0.67</v>
      </c>
      <c r="R112" s="15">
        <v>-0.64</v>
      </c>
      <c r="S112" s="16"/>
      <c r="T112">
        <v>202112</v>
      </c>
      <c r="U112" s="18">
        <v>105.34542083740234</v>
      </c>
      <c r="V112" s="2"/>
      <c r="W112" s="2"/>
      <c r="X112" s="2"/>
      <c r="Y112" s="2"/>
      <c r="Z112" s="2"/>
      <c r="AA112" s="2"/>
      <c r="AB112" s="6"/>
      <c r="AC112" s="3"/>
      <c r="AD112" s="5"/>
    </row>
    <row r="113" spans="1:30" x14ac:dyDescent="0.25">
      <c r="A113" s="7">
        <v>202307</v>
      </c>
      <c r="B113" s="7" t="s">
        <v>8</v>
      </c>
      <c r="C113" s="7" t="s">
        <v>9</v>
      </c>
      <c r="D113" s="7" t="s">
        <v>12</v>
      </c>
      <c r="E113" s="7">
        <v>80450</v>
      </c>
      <c r="F113" s="13">
        <v>1334</v>
      </c>
      <c r="G113" s="12">
        <v>615</v>
      </c>
      <c r="H113" s="10">
        <f t="shared" si="3"/>
        <v>2.1691056910569104</v>
      </c>
      <c r="I113" s="10">
        <v>1.0581756376544122</v>
      </c>
      <c r="J113" s="11">
        <v>8.7342042832171151E-5</v>
      </c>
      <c r="K113" s="15">
        <v>0.11177347600460052</v>
      </c>
      <c r="L113" s="15">
        <v>825.6</v>
      </c>
      <c r="M113" s="15">
        <v>0.21112766861915588</v>
      </c>
      <c r="N113" s="15">
        <f t="shared" si="6"/>
        <v>1.2534421736035484</v>
      </c>
      <c r="O113" s="15">
        <f t="shared" si="5"/>
        <v>107.44878387451172</v>
      </c>
      <c r="P113" s="15">
        <v>5.91E-2</v>
      </c>
      <c r="Q113" s="15">
        <v>-0.67</v>
      </c>
      <c r="R113" s="15">
        <v>-0.64</v>
      </c>
      <c r="S113" s="16"/>
      <c r="T113">
        <v>202201</v>
      </c>
      <c r="U113" s="18">
        <v>138.67498779296875</v>
      </c>
      <c r="V113" s="2"/>
      <c r="W113" s="2"/>
      <c r="X113" s="2"/>
      <c r="Y113" s="2"/>
      <c r="Z113" s="2"/>
      <c r="AA113" s="2"/>
      <c r="AB113" s="6"/>
      <c r="AC113" s="4"/>
      <c r="AD113" s="5"/>
    </row>
    <row r="114" spans="1:30" x14ac:dyDescent="0.25">
      <c r="A114" s="7">
        <v>202306</v>
      </c>
      <c r="B114" s="7" t="s">
        <v>8</v>
      </c>
      <c r="C114" s="7" t="s">
        <v>9</v>
      </c>
      <c r="D114" s="7" t="s">
        <v>12</v>
      </c>
      <c r="E114" s="7">
        <v>80450</v>
      </c>
      <c r="F114" s="13">
        <v>9773</v>
      </c>
      <c r="G114" s="9">
        <v>5276</v>
      </c>
      <c r="H114" s="10">
        <f t="shared" si="3"/>
        <v>1.8523502653525399</v>
      </c>
      <c r="I114" s="10">
        <v>1.5452009942240343</v>
      </c>
      <c r="J114" s="11">
        <v>5.5049655374962616E-4</v>
      </c>
      <c r="K114" s="15">
        <v>0.1223316416144371</v>
      </c>
      <c r="L114" s="15">
        <v>825.6</v>
      </c>
      <c r="M114" s="15">
        <v>0.26301303505897522</v>
      </c>
      <c r="N114" s="15">
        <f t="shared" si="6"/>
        <v>1.5001433914370317</v>
      </c>
      <c r="O114" s="15">
        <f t="shared" si="5"/>
        <v>110.52894592285156</v>
      </c>
      <c r="P114" s="15">
        <v>0.36730000000000002</v>
      </c>
      <c r="Q114" s="15">
        <v>-0.67</v>
      </c>
      <c r="R114" s="15">
        <v>-0.64</v>
      </c>
      <c r="S114" s="16"/>
      <c r="T114">
        <v>202202</v>
      </c>
      <c r="U114" s="18">
        <v>216.15901184082031</v>
      </c>
      <c r="V114" s="2"/>
      <c r="W114" s="2"/>
      <c r="X114" s="2"/>
      <c r="Y114" s="2"/>
      <c r="Z114" s="2"/>
      <c r="AA114" s="2"/>
      <c r="AB114" s="6"/>
      <c r="AC114" s="4"/>
      <c r="AD114" s="5"/>
    </row>
    <row r="115" spans="1:30" x14ac:dyDescent="0.25">
      <c r="A115" s="7">
        <v>202305</v>
      </c>
      <c r="B115" s="7" t="s">
        <v>8</v>
      </c>
      <c r="C115" s="7" t="s">
        <v>9</v>
      </c>
      <c r="D115" s="7" t="s">
        <v>12</v>
      </c>
      <c r="E115" s="7">
        <v>80450</v>
      </c>
      <c r="F115" s="13">
        <v>10149</v>
      </c>
      <c r="G115" s="9">
        <v>5613</v>
      </c>
      <c r="H115" s="10">
        <f t="shared" si="3"/>
        <v>1.8081239978621058</v>
      </c>
      <c r="I115" s="10">
        <v>1.6160682041160335</v>
      </c>
      <c r="J115" s="11">
        <v>3.8290957855724472E-4</v>
      </c>
      <c r="K115" s="15">
        <v>0.18175208568572998</v>
      </c>
      <c r="L115" s="15">
        <v>825.6</v>
      </c>
      <c r="M115" s="15">
        <v>0.31503695249557495</v>
      </c>
      <c r="N115" s="15">
        <f t="shared" si="6"/>
        <v>2.8885565361349226</v>
      </c>
      <c r="O115" s="15">
        <f t="shared" si="5"/>
        <v>108.46768188476563</v>
      </c>
      <c r="P115" s="15">
        <v>0.27060000000000001</v>
      </c>
      <c r="Q115" s="15">
        <v>-0.67</v>
      </c>
      <c r="R115" s="15">
        <v>-0.64</v>
      </c>
      <c r="S115" s="16"/>
      <c r="T115">
        <v>202203</v>
      </c>
      <c r="U115" s="18">
        <v>318.95492553710938</v>
      </c>
      <c r="V115" s="2"/>
      <c r="W115" s="2"/>
      <c r="X115" s="2"/>
      <c r="Y115" s="2"/>
      <c r="Z115" s="2"/>
      <c r="AA115" s="2"/>
      <c r="AB115" s="6"/>
      <c r="AC115" s="4"/>
      <c r="AD115" s="5"/>
    </row>
    <row r="116" spans="1:30" x14ac:dyDescent="0.25">
      <c r="A116" s="7">
        <v>202304</v>
      </c>
      <c r="B116" s="7" t="s">
        <v>8</v>
      </c>
      <c r="C116" s="7" t="s">
        <v>9</v>
      </c>
      <c r="D116" s="7" t="s">
        <v>12</v>
      </c>
      <c r="E116" s="7">
        <v>80450</v>
      </c>
      <c r="F116" s="13">
        <v>242</v>
      </c>
      <c r="G116" s="12">
        <v>146</v>
      </c>
      <c r="H116" s="10">
        <f t="shared" si="3"/>
        <v>1.6575342465753424</v>
      </c>
      <c r="I116" s="10">
        <v>1.7850798991145389</v>
      </c>
      <c r="J116" s="11">
        <v>1.2794065921900474E-5</v>
      </c>
      <c r="K116" s="15">
        <v>5.1880676299333572E-2</v>
      </c>
      <c r="L116" s="15">
        <v>825.6</v>
      </c>
      <c r="M116" s="15">
        <v>0.24643319845199585</v>
      </c>
      <c r="N116" s="15">
        <f t="shared" si="6"/>
        <v>-0.14600799347665344</v>
      </c>
      <c r="O116" s="15">
        <f t="shared" si="5"/>
        <v>106.80965423583984</v>
      </c>
      <c r="P116" s="15">
        <v>9.1000000000000004E-3</v>
      </c>
      <c r="Q116" s="15">
        <v>-0.67</v>
      </c>
      <c r="R116" s="15">
        <v>-0.64</v>
      </c>
      <c r="S116" s="16"/>
      <c r="T116">
        <v>202204</v>
      </c>
      <c r="U116" s="18">
        <v>191.14309692382813</v>
      </c>
      <c r="V116" s="2"/>
      <c r="W116" s="2"/>
      <c r="X116" s="2"/>
      <c r="Y116" s="2"/>
      <c r="Z116" s="2"/>
      <c r="AA116" s="2"/>
      <c r="AB116" s="6"/>
      <c r="AC116" s="4"/>
      <c r="AD116" s="5"/>
    </row>
    <row r="117" spans="1:30" x14ac:dyDescent="0.25">
      <c r="A117" s="7">
        <v>202303</v>
      </c>
      <c r="B117" s="7" t="s">
        <v>8</v>
      </c>
      <c r="C117" s="7" t="s">
        <v>9</v>
      </c>
      <c r="D117" s="7" t="s">
        <v>12</v>
      </c>
      <c r="E117" s="7">
        <v>80450</v>
      </c>
      <c r="F117" s="13">
        <v>4390</v>
      </c>
      <c r="G117" s="9">
        <v>2264</v>
      </c>
      <c r="H117" s="10">
        <f t="shared" si="3"/>
        <v>1.9390459363957597</v>
      </c>
      <c r="I117" s="10">
        <v>1.6928368476457547</v>
      </c>
      <c r="J117" s="11">
        <v>2.6861446212921567E-4</v>
      </c>
      <c r="K117" s="15">
        <v>6.4866140484809875E-2</v>
      </c>
      <c r="L117" s="15">
        <v>825.6</v>
      </c>
      <c r="M117" s="15">
        <v>0.30663993954658508</v>
      </c>
      <c r="N117" s="15">
        <f t="shared" si="6"/>
        <v>0.15740928060981249</v>
      </c>
      <c r="O117" s="15">
        <f t="shared" si="5"/>
        <v>105.37997436523438</v>
      </c>
      <c r="P117" s="15">
        <v>9.8199999999999996E-2</v>
      </c>
      <c r="Q117" s="15">
        <v>-0.67</v>
      </c>
      <c r="R117" s="15">
        <v>-0.64</v>
      </c>
      <c r="S117" s="16"/>
      <c r="T117">
        <v>202205</v>
      </c>
      <c r="U117" s="18">
        <v>142.25848388671875</v>
      </c>
      <c r="V117" s="2"/>
      <c r="W117" s="2"/>
      <c r="X117" s="2"/>
      <c r="Y117" s="2"/>
      <c r="Z117" s="2"/>
      <c r="AA117" s="2"/>
      <c r="AB117" s="6"/>
      <c r="AC117" s="4"/>
      <c r="AD117" s="5"/>
    </row>
    <row r="118" spans="1:30" x14ac:dyDescent="0.25">
      <c r="A118" s="7">
        <v>202302</v>
      </c>
      <c r="B118" s="7" t="s">
        <v>8</v>
      </c>
      <c r="C118" s="7" t="s">
        <v>9</v>
      </c>
      <c r="D118" s="7" t="s">
        <v>12</v>
      </c>
      <c r="E118" s="7">
        <v>80450</v>
      </c>
      <c r="F118" s="13">
        <v>2310</v>
      </c>
      <c r="G118" s="9">
        <v>1030</v>
      </c>
      <c r="H118" s="10">
        <f t="shared" si="3"/>
        <v>2.2427184466019416</v>
      </c>
      <c r="I118" s="10">
        <v>1.3625964873870238</v>
      </c>
      <c r="J118" s="11">
        <v>2.3197925402501581E-4</v>
      </c>
      <c r="K118" s="15">
        <v>9.3395598232746124E-2</v>
      </c>
      <c r="L118" s="15">
        <v>825.6</v>
      </c>
      <c r="M118" s="15">
        <v>0.29352903366088867</v>
      </c>
      <c r="N118" s="15">
        <f t="shared" si="6"/>
        <v>0.82402621300454082</v>
      </c>
      <c r="O118" s="15">
        <f t="shared" si="5"/>
        <v>120.99437713623047</v>
      </c>
      <c r="P118" s="15">
        <v>3.5299999999999998E-2</v>
      </c>
      <c r="Q118" s="15">
        <v>-0.67</v>
      </c>
      <c r="R118" s="15">
        <v>-0.64</v>
      </c>
      <c r="S118" s="16"/>
      <c r="T118">
        <v>202206</v>
      </c>
      <c r="U118" s="18">
        <v>130.70732116699219</v>
      </c>
      <c r="V118" s="2"/>
      <c r="W118" s="2"/>
      <c r="X118" s="2"/>
      <c r="Y118" s="2"/>
      <c r="Z118" s="2"/>
      <c r="AA118" s="2"/>
      <c r="AB118" s="6"/>
      <c r="AC118" s="4"/>
      <c r="AD118" s="5"/>
    </row>
    <row r="119" spans="1:30" x14ac:dyDescent="0.25">
      <c r="A119" s="7">
        <v>202301</v>
      </c>
      <c r="B119" s="7" t="s">
        <v>8</v>
      </c>
      <c r="C119" s="7" t="s">
        <v>9</v>
      </c>
      <c r="D119" s="7" t="s">
        <v>12</v>
      </c>
      <c r="E119" s="7">
        <v>80450</v>
      </c>
      <c r="F119" s="13">
        <v>9983</v>
      </c>
      <c r="G119" s="9">
        <v>3985</v>
      </c>
      <c r="H119" s="10">
        <f t="shared" si="3"/>
        <v>2.5051442910915935</v>
      </c>
      <c r="I119" s="10">
        <v>1.2950243232882781</v>
      </c>
      <c r="J119" s="11">
        <v>9.4743334583860571E-4</v>
      </c>
      <c r="K119" s="15">
        <v>3.790750727057457E-2</v>
      </c>
      <c r="L119" s="15">
        <v>825.6</v>
      </c>
      <c r="M119" s="15">
        <v>0.19585543870925903</v>
      </c>
      <c r="N119" s="15">
        <f t="shared" si="6"/>
        <v>-0.47250389662637798</v>
      </c>
      <c r="O119" s="15">
        <f t="shared" si="5"/>
        <v>104.26704406738281</v>
      </c>
      <c r="P119" s="15">
        <v>4.2000000000000003E-2</v>
      </c>
      <c r="Q119" s="15">
        <v>-0.67</v>
      </c>
      <c r="R119" s="15">
        <v>-0.64</v>
      </c>
      <c r="S119" s="16"/>
      <c r="T119">
        <v>202207</v>
      </c>
      <c r="U119" s="18">
        <v>117.17676544189453</v>
      </c>
      <c r="V119" s="2"/>
      <c r="W119" s="2"/>
      <c r="X119" s="2"/>
      <c r="Y119" s="2"/>
      <c r="Z119" s="2"/>
      <c r="AA119" s="2"/>
      <c r="AB119" s="6"/>
      <c r="AC119" s="4"/>
      <c r="AD119" s="5"/>
    </row>
    <row r="120" spans="1:30" x14ac:dyDescent="0.25">
      <c r="A120" s="7">
        <v>202212</v>
      </c>
      <c r="B120" s="7" t="s">
        <v>8</v>
      </c>
      <c r="C120" s="7" t="s">
        <v>9</v>
      </c>
      <c r="D120" s="7" t="s">
        <v>12</v>
      </c>
      <c r="E120" s="7">
        <v>80450</v>
      </c>
      <c r="F120" s="13">
        <v>21305</v>
      </c>
      <c r="G120" s="9">
        <v>8659</v>
      </c>
      <c r="H120" s="10">
        <f t="shared" si="3"/>
        <v>2.4604457789583094</v>
      </c>
      <c r="I120" s="10">
        <v>1.363934905387854</v>
      </c>
      <c r="J120" s="11">
        <v>1.7764936659516498E-3</v>
      </c>
      <c r="K120" s="15">
        <v>3.7195462733507156E-2</v>
      </c>
      <c r="L120" s="15">
        <v>843.6</v>
      </c>
      <c r="M120" s="15">
        <v>0.24796974658966064</v>
      </c>
      <c r="N120" s="15">
        <f t="shared" si="6"/>
        <v>-0.48914146994522728</v>
      </c>
      <c r="O120" s="15">
        <f t="shared" si="5"/>
        <v>111.19593811035156</v>
      </c>
      <c r="P120" s="15">
        <v>6.8699999999999997E-2</v>
      </c>
      <c r="Q120" s="15">
        <v>-0.68</v>
      </c>
      <c r="R120" s="15">
        <v>-0.62</v>
      </c>
      <c r="S120" s="16"/>
      <c r="T120">
        <v>202208</v>
      </c>
      <c r="U120" s="18">
        <v>132.86322021484375</v>
      </c>
      <c r="V120" s="2"/>
      <c r="W120" s="2"/>
      <c r="X120" s="2"/>
      <c r="Y120" s="2"/>
      <c r="Z120" s="2"/>
      <c r="AA120" s="2"/>
      <c r="AB120" s="6"/>
      <c r="AC120" s="4"/>
      <c r="AD120" s="5"/>
    </row>
    <row r="121" spans="1:30" x14ac:dyDescent="0.25">
      <c r="A121" s="7">
        <v>202211</v>
      </c>
      <c r="B121" s="7" t="s">
        <v>8</v>
      </c>
      <c r="C121" s="7" t="s">
        <v>9</v>
      </c>
      <c r="D121" s="7" t="s">
        <v>12</v>
      </c>
      <c r="E121" s="7">
        <v>80450</v>
      </c>
      <c r="F121" s="13">
        <v>11409</v>
      </c>
      <c r="G121" s="9">
        <v>5185</v>
      </c>
      <c r="H121" s="10">
        <f t="shared" si="3"/>
        <v>2.2003857280617165</v>
      </c>
      <c r="I121" s="10">
        <v>1.3706627120642716</v>
      </c>
      <c r="J121" s="11">
        <v>7.1125684114808788E-4</v>
      </c>
      <c r="K121" s="15">
        <v>7.4120528995990753E-2</v>
      </c>
      <c r="L121" s="15">
        <v>843.6</v>
      </c>
      <c r="M121" s="15">
        <v>0.29648211598396301</v>
      </c>
      <c r="N121" s="15">
        <f t="shared" si="6"/>
        <v>0.37364655139911357</v>
      </c>
      <c r="O121" s="15">
        <f t="shared" si="5"/>
        <v>116.71628570556641</v>
      </c>
      <c r="P121" s="15">
        <v>2.5000000000000001E-2</v>
      </c>
      <c r="Q121" s="15">
        <v>-0.68</v>
      </c>
      <c r="R121" s="15">
        <v>-0.62</v>
      </c>
      <c r="S121" s="16"/>
      <c r="T121">
        <v>202209</v>
      </c>
      <c r="U121" s="18">
        <v>131.98587036132813</v>
      </c>
      <c r="V121" s="2"/>
      <c r="W121" s="2"/>
      <c r="X121" s="2"/>
      <c r="Y121" s="2"/>
      <c r="Z121" s="2"/>
      <c r="AA121" s="2"/>
      <c r="AB121" s="6"/>
      <c r="AC121" s="4"/>
      <c r="AD121" s="5"/>
    </row>
    <row r="122" spans="1:30" x14ac:dyDescent="0.25">
      <c r="A122" s="7">
        <v>202210</v>
      </c>
      <c r="B122" s="7" t="s">
        <v>8</v>
      </c>
      <c r="C122" s="7" t="s">
        <v>9</v>
      </c>
      <c r="D122" s="7" t="s">
        <v>12</v>
      </c>
      <c r="E122" s="7">
        <v>80450</v>
      </c>
      <c r="F122" s="13">
        <v>394</v>
      </c>
      <c r="G122" s="12">
        <v>239</v>
      </c>
      <c r="H122" s="10">
        <f t="shared" si="3"/>
        <v>1.6485355648535565</v>
      </c>
      <c r="I122" s="10">
        <v>1.3232738622972526</v>
      </c>
      <c r="J122" s="11">
        <v>2.315818107417048E-5</v>
      </c>
      <c r="K122" s="15">
        <v>4.5439053326845169E-2</v>
      </c>
      <c r="L122" s="15">
        <v>843.6</v>
      </c>
      <c r="M122" s="15">
        <v>0.30671361088752747</v>
      </c>
      <c r="N122" s="15">
        <f t="shared" si="6"/>
        <v>-0.29652241907502486</v>
      </c>
      <c r="O122" s="15">
        <f t="shared" si="5"/>
        <v>143.16241455078125</v>
      </c>
      <c r="P122" s="15">
        <v>1.8E-3</v>
      </c>
      <c r="Q122" s="15">
        <v>-0.68</v>
      </c>
      <c r="R122" s="15">
        <v>-0.62</v>
      </c>
      <c r="S122" s="16"/>
      <c r="T122">
        <v>202210</v>
      </c>
      <c r="U122" s="18">
        <v>143.16241455078125</v>
      </c>
      <c r="V122" s="2"/>
      <c r="W122" s="2"/>
      <c r="X122" s="2"/>
      <c r="Y122" s="2"/>
      <c r="Z122" s="2"/>
      <c r="AA122" s="2"/>
      <c r="AB122" s="6"/>
      <c r="AC122" s="4"/>
      <c r="AD122" s="5"/>
    </row>
    <row r="123" spans="1:30" x14ac:dyDescent="0.25">
      <c r="A123" s="7">
        <v>202209</v>
      </c>
      <c r="B123" s="7" t="s">
        <v>8</v>
      </c>
      <c r="C123" s="7" t="s">
        <v>9</v>
      </c>
      <c r="D123" s="7" t="s">
        <v>12</v>
      </c>
      <c r="E123" s="7">
        <v>80450</v>
      </c>
      <c r="F123" s="13">
        <v>4577</v>
      </c>
      <c r="G123" s="9">
        <v>2509</v>
      </c>
      <c r="H123" s="10">
        <f t="shared" si="3"/>
        <v>1.8242327620565963</v>
      </c>
      <c r="I123" s="10">
        <v>1.3487114818036277</v>
      </c>
      <c r="J123" s="11">
        <v>1.7424696150912411E-4</v>
      </c>
      <c r="K123" s="15">
        <v>3.5346098244190216E-2</v>
      </c>
      <c r="L123" s="15">
        <v>843.6</v>
      </c>
      <c r="M123" s="15">
        <v>0.50662738084793091</v>
      </c>
      <c r="N123" s="15">
        <f t="shared" si="6"/>
        <v>-0.53235356649611187</v>
      </c>
      <c r="O123" s="15">
        <f t="shared" si="5"/>
        <v>131.98587036132813</v>
      </c>
      <c r="P123" s="15">
        <v>4.7399999999999998E-2</v>
      </c>
      <c r="Q123" s="15">
        <v>-0.68</v>
      </c>
      <c r="R123" s="15">
        <v>-0.62</v>
      </c>
      <c r="S123" s="16"/>
      <c r="T123">
        <v>202211</v>
      </c>
      <c r="U123" s="18">
        <v>116.71628570556641</v>
      </c>
      <c r="V123" s="2"/>
      <c r="W123" s="2"/>
      <c r="X123" s="2"/>
      <c r="Y123" s="2"/>
      <c r="Z123" s="2"/>
      <c r="AA123" s="2"/>
      <c r="AB123" s="6"/>
      <c r="AC123" s="4"/>
      <c r="AD123" s="5"/>
    </row>
    <row r="124" spans="1:30" x14ac:dyDescent="0.25">
      <c r="A124" s="7">
        <v>202208</v>
      </c>
      <c r="B124" s="7" t="s">
        <v>8</v>
      </c>
      <c r="C124" s="7" t="s">
        <v>9</v>
      </c>
      <c r="D124" s="7" t="s">
        <v>12</v>
      </c>
      <c r="E124" s="7">
        <v>80450</v>
      </c>
      <c r="F124" s="13">
        <v>1441</v>
      </c>
      <c r="G124" s="12">
        <v>500</v>
      </c>
      <c r="H124" s="10">
        <f t="shared" si="3"/>
        <v>2.8820000000000001</v>
      </c>
      <c r="I124" s="10">
        <v>1.2977325009604068</v>
      </c>
      <c r="J124" s="11">
        <v>5.2129250152752091E-5</v>
      </c>
      <c r="K124" s="15">
        <v>5.3292278200387955E-2</v>
      </c>
      <c r="L124" s="15">
        <v>843.6</v>
      </c>
      <c r="M124" s="15">
        <v>0.24869729578495026</v>
      </c>
      <c r="N124" s="15">
        <f t="shared" si="6"/>
        <v>-0.1130246210846034</v>
      </c>
      <c r="O124" s="15">
        <f t="shared" si="5"/>
        <v>132.86322021484375</v>
      </c>
      <c r="P124" s="15">
        <v>3.73E-2</v>
      </c>
      <c r="Q124" s="15">
        <v>-0.68</v>
      </c>
      <c r="R124" s="15">
        <v>-0.62</v>
      </c>
      <c r="S124" s="16"/>
      <c r="T124">
        <v>202212</v>
      </c>
      <c r="U124" s="18">
        <v>111.19593811035156</v>
      </c>
      <c r="V124" s="2"/>
      <c r="W124" s="2"/>
      <c r="X124" s="2"/>
      <c r="Y124" s="2"/>
      <c r="Z124" s="2"/>
      <c r="AA124" s="2"/>
      <c r="AB124" s="6"/>
      <c r="AC124" s="3"/>
      <c r="AD124" s="5"/>
    </row>
    <row r="125" spans="1:30" x14ac:dyDescent="0.25">
      <c r="A125" s="7">
        <v>202207</v>
      </c>
      <c r="B125" s="7" t="s">
        <v>8</v>
      </c>
      <c r="C125" s="7" t="s">
        <v>9</v>
      </c>
      <c r="D125" s="7" t="s">
        <v>12</v>
      </c>
      <c r="E125" s="7">
        <v>80450</v>
      </c>
      <c r="F125" s="13">
        <v>9951</v>
      </c>
      <c r="G125" s="9">
        <v>5271</v>
      </c>
      <c r="H125" s="10">
        <f t="shared" si="3"/>
        <v>1.8878770631758679</v>
      </c>
      <c r="I125" s="10">
        <v>1.1014206687475789</v>
      </c>
      <c r="J125" s="11">
        <v>4.8709926100027603E-4</v>
      </c>
      <c r="K125" s="15">
        <v>4.6473801136016846E-2</v>
      </c>
      <c r="L125" s="15">
        <v>843.6</v>
      </c>
      <c r="M125" s="15">
        <v>0.27303358912467957</v>
      </c>
      <c r="N125" s="15">
        <f t="shared" si="6"/>
        <v>-0.27234458799086814</v>
      </c>
      <c r="O125" s="15">
        <f t="shared" si="5"/>
        <v>117.17676544189453</v>
      </c>
      <c r="P125" s="15">
        <v>0.47</v>
      </c>
      <c r="Q125" s="15">
        <v>-0.68</v>
      </c>
      <c r="R125" s="15">
        <v>-0.62</v>
      </c>
      <c r="S125" s="16"/>
      <c r="T125">
        <v>202301</v>
      </c>
      <c r="U125" s="18">
        <v>104.26704406738281</v>
      </c>
      <c r="V125" s="2"/>
      <c r="W125" s="2"/>
      <c r="X125" s="2"/>
      <c r="Y125" s="2"/>
      <c r="Z125" s="2"/>
      <c r="AA125" s="2"/>
      <c r="AB125" s="6"/>
      <c r="AC125" s="4"/>
      <c r="AD125" s="5"/>
    </row>
    <row r="126" spans="1:30" x14ac:dyDescent="0.25">
      <c r="A126" s="7">
        <v>202206</v>
      </c>
      <c r="B126" s="7" t="s">
        <v>8</v>
      </c>
      <c r="C126" s="7" t="s">
        <v>9</v>
      </c>
      <c r="D126" s="7" t="s">
        <v>12</v>
      </c>
      <c r="E126" s="7">
        <v>80450</v>
      </c>
      <c r="F126" s="13">
        <v>3403</v>
      </c>
      <c r="G126" s="9">
        <v>3263</v>
      </c>
      <c r="H126" s="10">
        <f t="shared" si="3"/>
        <v>1.0429053018694452</v>
      </c>
      <c r="I126" s="10">
        <v>1.2150251758477455</v>
      </c>
      <c r="J126" s="11">
        <v>1.9164675813711693E-4</v>
      </c>
      <c r="K126" s="15">
        <v>5.8865081518888474E-2</v>
      </c>
      <c r="L126" s="15">
        <v>843.6</v>
      </c>
      <c r="M126" s="15">
        <v>0.37673652172088623</v>
      </c>
      <c r="N126" s="15">
        <f t="shared" si="6"/>
        <v>1.7189036876936604E-2</v>
      </c>
      <c r="O126" s="15">
        <f t="shared" si="5"/>
        <v>130.70732116699219</v>
      </c>
      <c r="P126" s="15">
        <v>0.20669999999999999</v>
      </c>
      <c r="Q126" s="15">
        <v>-0.68</v>
      </c>
      <c r="R126" s="15">
        <v>-0.62</v>
      </c>
      <c r="S126" s="16"/>
      <c r="T126">
        <v>202302</v>
      </c>
      <c r="U126" s="18">
        <v>120.99437713623047</v>
      </c>
      <c r="V126" s="2"/>
      <c r="W126" s="2"/>
      <c r="X126" s="2"/>
      <c r="Y126" s="2"/>
      <c r="Z126" s="2"/>
      <c r="AA126" s="2"/>
      <c r="AB126" s="6"/>
      <c r="AC126" s="4"/>
      <c r="AD126" s="5"/>
    </row>
    <row r="127" spans="1:30" x14ac:dyDescent="0.25">
      <c r="A127" s="7">
        <v>202205</v>
      </c>
      <c r="B127" s="7" t="s">
        <v>8</v>
      </c>
      <c r="C127" s="7" t="s">
        <v>9</v>
      </c>
      <c r="D127" s="7" t="s">
        <v>12</v>
      </c>
      <c r="E127" s="7">
        <v>80450</v>
      </c>
      <c r="F127" s="13">
        <v>1536</v>
      </c>
      <c r="G127" s="9">
        <v>1462</v>
      </c>
      <c r="H127" s="10">
        <f t="shared" si="3"/>
        <v>1.0506155950752394</v>
      </c>
      <c r="I127" s="10">
        <v>1.5568991746582632</v>
      </c>
      <c r="J127" s="11">
        <v>6.3416591142708762E-5</v>
      </c>
      <c r="K127" s="15">
        <v>5.0930902361869812E-2</v>
      </c>
      <c r="L127" s="15">
        <v>843.6</v>
      </c>
      <c r="M127" s="15">
        <v>0.35085734724998474</v>
      </c>
      <c r="N127" s="15">
        <f t="shared" si="6"/>
        <v>-0.16820033215530758</v>
      </c>
      <c r="O127" s="15">
        <f t="shared" si="5"/>
        <v>142.25848388671875</v>
      </c>
      <c r="P127" s="15">
        <v>0.98970000000000002</v>
      </c>
      <c r="Q127" s="15">
        <v>-0.68</v>
      </c>
      <c r="R127" s="15">
        <v>-0.62</v>
      </c>
      <c r="S127" s="16"/>
      <c r="T127">
        <v>202303</v>
      </c>
      <c r="U127" s="18">
        <v>105.37997436523438</v>
      </c>
      <c r="V127" s="2"/>
      <c r="W127" s="2"/>
      <c r="X127" s="2"/>
      <c r="Y127" s="2"/>
      <c r="Z127" s="2"/>
      <c r="AA127" s="2"/>
      <c r="AB127" s="6"/>
      <c r="AC127" s="4"/>
      <c r="AD127" s="5"/>
    </row>
    <row r="128" spans="1:30" x14ac:dyDescent="0.25">
      <c r="A128" s="7">
        <v>202204</v>
      </c>
      <c r="B128" s="7" t="s">
        <v>8</v>
      </c>
      <c r="C128" s="7" t="s">
        <v>9</v>
      </c>
      <c r="D128" s="7" t="s">
        <v>12</v>
      </c>
      <c r="E128" s="7">
        <v>80450</v>
      </c>
      <c r="F128" s="13">
        <v>2542</v>
      </c>
      <c r="G128" s="9">
        <v>1659</v>
      </c>
      <c r="H128" s="10">
        <f t="shared" si="3"/>
        <v>1.5322483423749247</v>
      </c>
      <c r="I128" s="10">
        <v>1.5624134623122834</v>
      </c>
      <c r="J128" s="11">
        <v>1.1764100989670037E-4</v>
      </c>
      <c r="K128" s="15">
        <v>8.1651695072650909E-2</v>
      </c>
      <c r="L128" s="15">
        <v>843.6</v>
      </c>
      <c r="M128" s="15">
        <v>0.41409075260162354</v>
      </c>
      <c r="N128" s="15">
        <f t="shared" si="6"/>
        <v>0.54961915037855258</v>
      </c>
      <c r="O128" s="15">
        <f t="shared" si="5"/>
        <v>191.14309692382813</v>
      </c>
      <c r="P128" s="15">
        <v>0.18779999999999999</v>
      </c>
      <c r="Q128" s="15">
        <v>-0.68</v>
      </c>
      <c r="R128" s="15">
        <v>-0.62</v>
      </c>
      <c r="S128" s="16"/>
      <c r="T128">
        <v>202304</v>
      </c>
      <c r="U128" s="18">
        <v>106.80965423583984</v>
      </c>
      <c r="V128" s="2"/>
      <c r="W128" s="2"/>
      <c r="X128" s="2"/>
      <c r="Y128" s="2"/>
      <c r="Z128" s="2"/>
      <c r="AA128" s="2"/>
      <c r="AB128" s="6"/>
      <c r="AC128" s="4"/>
      <c r="AD128" s="5"/>
    </row>
    <row r="129" spans="1:30" x14ac:dyDescent="0.25">
      <c r="A129" s="7">
        <v>202203</v>
      </c>
      <c r="B129" s="7" t="s">
        <v>8</v>
      </c>
      <c r="C129" s="7" t="s">
        <v>9</v>
      </c>
      <c r="D129" s="7" t="s">
        <v>12</v>
      </c>
      <c r="E129" s="7">
        <v>80450</v>
      </c>
      <c r="F129" s="13">
        <v>11195</v>
      </c>
      <c r="G129" s="9">
        <v>5834</v>
      </c>
      <c r="H129" s="10">
        <f t="shared" si="3"/>
        <v>1.9189235515941034</v>
      </c>
      <c r="I129" s="10">
        <v>1.2101782318320773</v>
      </c>
      <c r="J129" s="11">
        <v>7.4173354691549158E-4</v>
      </c>
      <c r="K129" s="15">
        <v>9.6292726695537567E-2</v>
      </c>
      <c r="L129" s="15">
        <v>843.6</v>
      </c>
      <c r="M129" s="15">
        <v>0.46701973676681519</v>
      </c>
      <c r="N129" s="15">
        <f t="shared" si="6"/>
        <v>0.89172027525005226</v>
      </c>
      <c r="O129" s="15">
        <f t="shared" si="5"/>
        <v>318.95492553710938</v>
      </c>
      <c r="P129" s="15">
        <v>0.31509999999999999</v>
      </c>
      <c r="Q129" s="15">
        <v>-0.68</v>
      </c>
      <c r="R129" s="15">
        <v>-0.62</v>
      </c>
      <c r="S129" s="16"/>
      <c r="T129">
        <v>202305</v>
      </c>
      <c r="U129" s="18">
        <v>108.46768188476563</v>
      </c>
      <c r="V129" s="2"/>
      <c r="W129" s="2"/>
      <c r="X129" s="2"/>
      <c r="Y129" s="2"/>
      <c r="Z129" s="2"/>
      <c r="AA129" s="2"/>
      <c r="AB129" s="6"/>
      <c r="AC129" s="4"/>
      <c r="AD129" s="5"/>
    </row>
    <row r="130" spans="1:30" x14ac:dyDescent="0.25">
      <c r="A130" s="7">
        <v>202202</v>
      </c>
      <c r="B130" s="7" t="s">
        <v>8</v>
      </c>
      <c r="C130" s="7" t="s">
        <v>9</v>
      </c>
      <c r="D130" s="7" t="s">
        <v>12</v>
      </c>
      <c r="E130" s="7">
        <v>80450</v>
      </c>
      <c r="F130" s="13">
        <v>6093</v>
      </c>
      <c r="G130" s="9">
        <v>3399</v>
      </c>
      <c r="H130" s="10">
        <f t="shared" si="3"/>
        <v>1.792586054721977</v>
      </c>
      <c r="I130" s="10">
        <v>0.95187145258592487</v>
      </c>
      <c r="J130" s="11">
        <v>5.833405855981223E-4</v>
      </c>
      <c r="K130" s="15">
        <v>5.5370986461639404E-2</v>
      </c>
      <c r="L130" s="15">
        <v>843.6</v>
      </c>
      <c r="M130" s="15">
        <v>0.17114667594432831</v>
      </c>
      <c r="N130" s="15">
        <f t="shared" si="6"/>
        <v>-6.4453697069783697E-2</v>
      </c>
      <c r="O130" s="15">
        <f t="shared" si="5"/>
        <v>216.15901184082031</v>
      </c>
      <c r="P130" s="15">
        <v>0.14849999999999999</v>
      </c>
      <c r="Q130" s="15">
        <v>-0.68</v>
      </c>
      <c r="R130" s="15">
        <v>-0.62</v>
      </c>
      <c r="S130" s="16"/>
      <c r="T130">
        <v>202306</v>
      </c>
      <c r="U130" s="18">
        <v>110.52894592285156</v>
      </c>
      <c r="V130" s="2"/>
      <c r="W130" s="2"/>
      <c r="X130" s="2"/>
      <c r="Y130" s="2"/>
      <c r="Z130" s="2"/>
      <c r="AA130" s="2"/>
      <c r="AB130" s="6"/>
      <c r="AC130" s="4"/>
      <c r="AD130" s="5"/>
    </row>
    <row r="131" spans="1:30" x14ac:dyDescent="0.25">
      <c r="A131" s="7">
        <v>202201</v>
      </c>
      <c r="B131" s="7" t="s">
        <v>8</v>
      </c>
      <c r="C131" s="7" t="s">
        <v>9</v>
      </c>
      <c r="D131" s="7" t="s">
        <v>12</v>
      </c>
      <c r="E131" s="7">
        <v>80450</v>
      </c>
      <c r="F131" s="13">
        <v>8471</v>
      </c>
      <c r="G131" s="9">
        <v>4864</v>
      </c>
      <c r="H131" s="10">
        <f t="shared" ref="H131:H194" si="7">F131/G131</f>
        <v>1.7415707236842106</v>
      </c>
      <c r="I131" s="10">
        <v>0.96046016335286355</v>
      </c>
      <c r="J131" s="11">
        <v>7.5866934895225534E-4</v>
      </c>
      <c r="K131" s="15">
        <v>6.7868918180465698E-2</v>
      </c>
      <c r="L131" s="15">
        <v>843.6</v>
      </c>
      <c r="M131" s="15">
        <v>0.21815009415149689</v>
      </c>
      <c r="N131" s="15">
        <f t="shared" si="6"/>
        <v>0.22757193402674236</v>
      </c>
      <c r="O131" s="15">
        <f t="shared" ref="O131:O194" si="8">VLOOKUP(A131,$T$5:$U$158,2,FALSE)</f>
        <v>138.67498779296875</v>
      </c>
      <c r="P131" s="15">
        <v>0.1095</v>
      </c>
      <c r="Q131" s="15">
        <v>-0.68</v>
      </c>
      <c r="R131" s="15">
        <v>-0.62</v>
      </c>
      <c r="S131" s="16"/>
      <c r="T131">
        <v>202307</v>
      </c>
      <c r="U131" s="18">
        <v>107.44878387451172</v>
      </c>
      <c r="V131" s="2"/>
      <c r="W131" s="2"/>
      <c r="X131" s="2"/>
      <c r="Y131" s="2"/>
      <c r="Z131" s="2"/>
      <c r="AA131" s="2"/>
      <c r="AB131" s="6"/>
      <c r="AC131" s="4"/>
      <c r="AD131" s="5"/>
    </row>
    <row r="132" spans="1:30" x14ac:dyDescent="0.25">
      <c r="A132" s="7">
        <v>202112</v>
      </c>
      <c r="B132" s="7" t="s">
        <v>8</v>
      </c>
      <c r="C132" s="7" t="s">
        <v>9</v>
      </c>
      <c r="D132" s="7" t="s">
        <v>12</v>
      </c>
      <c r="E132" s="7">
        <v>80450</v>
      </c>
      <c r="F132" s="13">
        <v>869</v>
      </c>
      <c r="G132" s="12">
        <v>461</v>
      </c>
      <c r="H132" s="10">
        <f t="shared" si="7"/>
        <v>1.8850325379609545</v>
      </c>
      <c r="I132" s="10">
        <v>0.94837893769415815</v>
      </c>
      <c r="J132" s="11">
        <v>5.8448808965953131E-5</v>
      </c>
      <c r="K132" s="15">
        <v>5.9244632720947266E-2</v>
      </c>
      <c r="L132" s="15">
        <v>854.4</v>
      </c>
      <c r="M132" s="15">
        <v>0.14811158180236816</v>
      </c>
      <c r="N132" s="15">
        <f t="shared" si="6"/>
        <v>2.6057598636455716E-2</v>
      </c>
      <c r="O132" s="15">
        <f t="shared" si="8"/>
        <v>105.34542083740234</v>
      </c>
      <c r="P132" s="15">
        <v>2.8E-3</v>
      </c>
      <c r="Q132" s="15">
        <v>-0.75</v>
      </c>
      <c r="R132" s="15">
        <v>-0.69</v>
      </c>
      <c r="S132" s="16"/>
      <c r="T132">
        <v>202308</v>
      </c>
      <c r="U132" s="18">
        <v>101.14118194580078</v>
      </c>
      <c r="V132" s="2"/>
      <c r="W132" s="2"/>
      <c r="X132" s="2"/>
      <c r="Y132" s="2"/>
      <c r="Z132" s="2"/>
      <c r="AA132" s="2"/>
      <c r="AB132" s="6"/>
      <c r="AC132" s="4"/>
      <c r="AD132" s="5"/>
    </row>
    <row r="133" spans="1:30" x14ac:dyDescent="0.25">
      <c r="A133" s="7">
        <v>202111</v>
      </c>
      <c r="B133" s="7" t="s">
        <v>8</v>
      </c>
      <c r="C133" s="7" t="s">
        <v>9</v>
      </c>
      <c r="D133" s="7" t="s">
        <v>12</v>
      </c>
      <c r="E133" s="7">
        <v>80450</v>
      </c>
      <c r="F133" s="13">
        <v>5521</v>
      </c>
      <c r="G133" s="9">
        <v>3060</v>
      </c>
      <c r="H133" s="10">
        <f t="shared" si="7"/>
        <v>1.8042483660130719</v>
      </c>
      <c r="I133" s="10">
        <v>0.96766418603180182</v>
      </c>
      <c r="J133" s="11">
        <v>4.7990104702917263E-4</v>
      </c>
      <c r="K133" s="15">
        <v>9.0026058256626129E-2</v>
      </c>
      <c r="L133" s="15">
        <v>854.4</v>
      </c>
      <c r="M133" s="15">
        <v>0.15636105835437775</v>
      </c>
      <c r="N133" s="15">
        <f t="shared" si="6"/>
        <v>0.74529382270437816</v>
      </c>
      <c r="O133" s="15">
        <f t="shared" si="8"/>
        <v>86.569145202636719</v>
      </c>
      <c r="P133" s="15">
        <v>7.0000000000000001E-3</v>
      </c>
      <c r="Q133" s="15">
        <v>-0.75</v>
      </c>
      <c r="R133" s="15">
        <v>-0.69</v>
      </c>
      <c r="S133" s="16"/>
      <c r="T133">
        <v>202309</v>
      </c>
      <c r="U133" s="18">
        <v>98.634811401367188</v>
      </c>
      <c r="V133" s="2"/>
      <c r="W133" s="2"/>
      <c r="X133" s="2"/>
      <c r="Y133" s="2"/>
      <c r="Z133" s="2"/>
      <c r="AA133" s="2"/>
      <c r="AB133" s="6"/>
      <c r="AC133" s="4"/>
      <c r="AD133" s="5"/>
    </row>
    <row r="134" spans="1:30" x14ac:dyDescent="0.25">
      <c r="A134" s="7">
        <v>202110</v>
      </c>
      <c r="B134" s="7" t="s">
        <v>8</v>
      </c>
      <c r="C134" s="7" t="s">
        <v>9</v>
      </c>
      <c r="D134" s="7" t="s">
        <v>12</v>
      </c>
      <c r="E134" s="7">
        <v>80450</v>
      </c>
      <c r="F134" s="13">
        <v>1658</v>
      </c>
      <c r="G134" s="12">
        <v>858</v>
      </c>
      <c r="H134" s="10">
        <f t="shared" si="7"/>
        <v>1.9324009324009324</v>
      </c>
      <c r="I134" s="10">
        <v>1.9306173331813572</v>
      </c>
      <c r="J134" s="11">
        <v>9.6250670648897875E-5</v>
      </c>
      <c r="K134" s="15">
        <v>4.0327999740839005E-2</v>
      </c>
      <c r="L134" s="15">
        <v>854.4</v>
      </c>
      <c r="M134" s="15">
        <v>0.25541067123413086</v>
      </c>
      <c r="N134" s="15">
        <f t="shared" si="6"/>
        <v>-0.41594687126444535</v>
      </c>
      <c r="O134" s="15">
        <f t="shared" si="8"/>
        <v>79.02923583984375</v>
      </c>
      <c r="P134" s="15">
        <v>0.99939999999999996</v>
      </c>
      <c r="Q134" s="15">
        <v>-0.75</v>
      </c>
      <c r="R134" s="15">
        <v>-0.69</v>
      </c>
      <c r="S134" s="16"/>
      <c r="T134">
        <v>202310</v>
      </c>
      <c r="U134" s="18">
        <v>197.88700866699219</v>
      </c>
      <c r="V134" s="2"/>
      <c r="W134" s="2"/>
      <c r="X134" s="2"/>
      <c r="Y134" s="2"/>
      <c r="Z134" s="2"/>
      <c r="AA134" s="2"/>
      <c r="AB134" s="6"/>
      <c r="AC134" s="4"/>
      <c r="AD134" s="5"/>
    </row>
    <row r="135" spans="1:30" x14ac:dyDescent="0.25">
      <c r="A135" s="7">
        <v>202109</v>
      </c>
      <c r="B135" s="7" t="s">
        <v>8</v>
      </c>
      <c r="C135" s="7" t="s">
        <v>9</v>
      </c>
      <c r="D135" s="7" t="s">
        <v>12</v>
      </c>
      <c r="E135" s="7">
        <v>80450</v>
      </c>
      <c r="F135" s="13">
        <v>227390</v>
      </c>
      <c r="G135" s="9">
        <v>297110</v>
      </c>
      <c r="H135" s="10">
        <f t="shared" si="7"/>
        <v>0.76533943657231329</v>
      </c>
      <c r="I135" s="10">
        <v>0.96168832769233448</v>
      </c>
      <c r="J135" s="11">
        <v>1.4678997394589319E-2</v>
      </c>
      <c r="K135" s="15">
        <v>1.8726591020822525E-2</v>
      </c>
      <c r="L135" s="15">
        <v>854.4</v>
      </c>
      <c r="M135" s="15">
        <v>0.43071159720420837</v>
      </c>
      <c r="N135" s="15">
        <f t="shared" si="6"/>
        <v>-0.92068358738320055</v>
      </c>
      <c r="O135" s="15">
        <f t="shared" si="8"/>
        <v>80.696968078613281</v>
      </c>
      <c r="P135" s="15">
        <v>0.85440000000000005</v>
      </c>
      <c r="Q135" s="15">
        <v>-0.75</v>
      </c>
      <c r="R135" s="15">
        <v>-0.69</v>
      </c>
      <c r="S135" s="16"/>
      <c r="T135">
        <v>202311</v>
      </c>
      <c r="U135" s="18">
        <v>156.69613647460938</v>
      </c>
      <c r="V135" s="2"/>
      <c r="W135" s="2"/>
      <c r="X135" s="2"/>
      <c r="Y135" s="2"/>
      <c r="Z135" s="2"/>
      <c r="AA135" s="2"/>
      <c r="AB135" s="6"/>
      <c r="AC135" s="4"/>
      <c r="AD135" s="5"/>
    </row>
    <row r="136" spans="1:30" x14ac:dyDescent="0.25">
      <c r="A136" s="7">
        <v>202108</v>
      </c>
      <c r="B136" s="7" t="s">
        <v>8</v>
      </c>
      <c r="C136" s="7" t="s">
        <v>9</v>
      </c>
      <c r="D136" s="7" t="s">
        <v>12</v>
      </c>
      <c r="E136" s="7">
        <v>80450</v>
      </c>
      <c r="F136" s="13">
        <v>1098</v>
      </c>
      <c r="G136" s="12">
        <v>611</v>
      </c>
      <c r="H136" s="10">
        <f t="shared" si="7"/>
        <v>1.7970540098199672</v>
      </c>
      <c r="I136" s="10">
        <v>1.0367885495127362</v>
      </c>
      <c r="J136" s="11">
        <v>6.2359191327369912E-5</v>
      </c>
      <c r="K136" s="15">
        <v>2.8964517638087273E-2</v>
      </c>
      <c r="L136" s="15">
        <v>854.4</v>
      </c>
      <c r="M136" s="15">
        <v>0.14482259750366211</v>
      </c>
      <c r="N136" s="15">
        <f t="shared" si="6"/>
        <v>-0.68146504716481693</v>
      </c>
      <c r="O136" s="15">
        <f t="shared" si="8"/>
        <v>89.486549377441406</v>
      </c>
      <c r="P136" s="15">
        <v>2.8000000000000001E-2</v>
      </c>
      <c r="Q136" s="15">
        <v>-0.75</v>
      </c>
      <c r="R136" s="15">
        <v>-0.69</v>
      </c>
      <c r="S136" s="16"/>
      <c r="T136">
        <v>202312</v>
      </c>
      <c r="U136" s="18">
        <v>142.27946472167969</v>
      </c>
      <c r="V136" s="2"/>
      <c r="W136" s="2"/>
      <c r="X136" s="2"/>
      <c r="Y136" s="2"/>
      <c r="Z136" s="2"/>
      <c r="AA136" s="2"/>
      <c r="AB136" s="6"/>
      <c r="AC136" s="4"/>
      <c r="AD136" s="5"/>
    </row>
    <row r="137" spans="1:30" x14ac:dyDescent="0.25">
      <c r="A137" s="7">
        <v>202107</v>
      </c>
      <c r="B137" s="7" t="s">
        <v>8</v>
      </c>
      <c r="C137" s="7" t="s">
        <v>9</v>
      </c>
      <c r="D137" s="7" t="s">
        <v>12</v>
      </c>
      <c r="E137" s="7">
        <v>80450</v>
      </c>
      <c r="F137" s="13">
        <v>1768</v>
      </c>
      <c r="G137" s="9">
        <v>1033</v>
      </c>
      <c r="H137" s="10">
        <f t="shared" si="7"/>
        <v>1.7115198451113263</v>
      </c>
      <c r="I137" s="10">
        <v>0.8751198528771863</v>
      </c>
      <c r="J137" s="11">
        <v>9.6604082374869294E-5</v>
      </c>
      <c r="K137" s="15">
        <v>3.5851933062076569E-2</v>
      </c>
      <c r="L137" s="15">
        <v>854.4</v>
      </c>
      <c r="M137" s="15">
        <v>0.17029666900634766</v>
      </c>
      <c r="N137" s="15">
        <f t="shared" si="6"/>
        <v>-0.52053427229230809</v>
      </c>
      <c r="O137" s="15">
        <f t="shared" si="8"/>
        <v>58.420768737792969</v>
      </c>
      <c r="P137" s="15">
        <v>0.87680000000000002</v>
      </c>
      <c r="Q137" s="15">
        <v>-0.75</v>
      </c>
      <c r="R137" s="15">
        <v>-0.69</v>
      </c>
      <c r="S137" s="16"/>
      <c r="T137">
        <v>202401</v>
      </c>
      <c r="U137" s="18">
        <v>160.16484069824219</v>
      </c>
      <c r="V137" s="2"/>
      <c r="W137" s="2"/>
      <c r="X137" s="2"/>
      <c r="Y137" s="2"/>
      <c r="Z137" s="2"/>
      <c r="AA137" s="2"/>
      <c r="AB137" s="6"/>
      <c r="AC137" s="4"/>
      <c r="AD137" s="5"/>
    </row>
    <row r="138" spans="1:30" x14ac:dyDescent="0.25">
      <c r="A138" s="7">
        <v>202106</v>
      </c>
      <c r="B138" s="7" t="s">
        <v>8</v>
      </c>
      <c r="C138" s="7" t="s">
        <v>9</v>
      </c>
      <c r="D138" s="7" t="s">
        <v>12</v>
      </c>
      <c r="E138" s="7">
        <v>80450</v>
      </c>
      <c r="F138" s="13">
        <v>2046</v>
      </c>
      <c r="G138" s="9">
        <v>1070</v>
      </c>
      <c r="H138" s="10">
        <f t="shared" si="7"/>
        <v>1.9121495327102804</v>
      </c>
      <c r="I138" s="10">
        <v>1.1163096764879143</v>
      </c>
      <c r="J138" s="11">
        <v>1.2071666759692056E-4</v>
      </c>
      <c r="K138" s="15">
        <v>4.6416636556386948E-2</v>
      </c>
      <c r="L138" s="15">
        <v>854.4</v>
      </c>
      <c r="M138" s="15">
        <v>0.18566654622554779</v>
      </c>
      <c r="N138" s="15">
        <f t="shared" si="6"/>
        <v>-0.27368029079500827</v>
      </c>
      <c r="O138" s="15">
        <f t="shared" si="8"/>
        <v>74.127120971679688</v>
      </c>
      <c r="P138" s="15">
        <v>4.6699999999999998E-2</v>
      </c>
      <c r="Q138" s="15">
        <v>-0.75</v>
      </c>
      <c r="R138" s="15">
        <v>-0.69</v>
      </c>
      <c r="S138" s="16"/>
      <c r="T138">
        <v>202402</v>
      </c>
      <c r="U138" s="18">
        <v>146.59817504882813</v>
      </c>
      <c r="V138" s="2"/>
      <c r="W138" s="2"/>
      <c r="X138" s="2"/>
      <c r="Y138" s="2"/>
      <c r="Z138" s="2"/>
      <c r="AA138" s="2"/>
      <c r="AB138" s="6"/>
      <c r="AC138" s="4"/>
      <c r="AD138" s="5"/>
    </row>
    <row r="139" spans="1:30" x14ac:dyDescent="0.25">
      <c r="A139" s="7">
        <v>202104</v>
      </c>
      <c r="B139" s="7" t="s">
        <v>8</v>
      </c>
      <c r="C139" s="7" t="s">
        <v>9</v>
      </c>
      <c r="D139" s="7" t="s">
        <v>12</v>
      </c>
      <c r="E139" s="7">
        <v>80450</v>
      </c>
      <c r="F139" s="13">
        <v>1929</v>
      </c>
      <c r="G139" s="9">
        <v>1172</v>
      </c>
      <c r="H139" s="10">
        <f t="shared" si="7"/>
        <v>1.6459044368600682</v>
      </c>
      <c r="I139" s="10">
        <v>1.4925235758913598</v>
      </c>
      <c r="J139" s="11">
        <v>9.8835432702446625E-5</v>
      </c>
      <c r="K139" s="15">
        <v>7.4491366744041443E-2</v>
      </c>
      <c r="L139" s="15">
        <v>854.4</v>
      </c>
      <c r="M139" s="15">
        <v>0.18157270550727844</v>
      </c>
      <c r="N139" s="15">
        <f t="shared" si="6"/>
        <v>0.38231151531836655</v>
      </c>
      <c r="O139" s="15">
        <f t="shared" si="8"/>
        <v>88.166221618652344</v>
      </c>
      <c r="P139" s="15">
        <v>3.04E-2</v>
      </c>
      <c r="Q139" s="15">
        <v>-0.75</v>
      </c>
      <c r="R139" s="15">
        <v>-0.69</v>
      </c>
      <c r="S139" s="16"/>
      <c r="T139">
        <v>202403</v>
      </c>
      <c r="U139" s="18">
        <v>133.21316528320313</v>
      </c>
      <c r="V139" s="2"/>
      <c r="W139" s="2"/>
      <c r="X139" s="2"/>
      <c r="Y139" s="2"/>
      <c r="Z139" s="2"/>
      <c r="AA139" s="2"/>
      <c r="AB139" s="6"/>
      <c r="AC139" s="4"/>
      <c r="AD139" s="5"/>
    </row>
    <row r="140" spans="1:30" x14ac:dyDescent="0.25">
      <c r="A140" s="7">
        <v>202103</v>
      </c>
      <c r="B140" s="7" t="s">
        <v>8</v>
      </c>
      <c r="C140" s="7" t="s">
        <v>9</v>
      </c>
      <c r="D140" s="7" t="s">
        <v>12</v>
      </c>
      <c r="E140" s="7">
        <v>80450</v>
      </c>
      <c r="F140" s="13">
        <v>1771</v>
      </c>
      <c r="G140" s="9">
        <v>1039</v>
      </c>
      <c r="H140" s="10">
        <f t="shared" si="7"/>
        <v>1.7045235803657364</v>
      </c>
      <c r="I140" s="10">
        <v>1.4520130681760444</v>
      </c>
      <c r="J140" s="11">
        <v>1.0684742362867726E-4</v>
      </c>
      <c r="K140" s="15">
        <v>9.6069872379302979E-2</v>
      </c>
      <c r="L140" s="15">
        <v>854.4</v>
      </c>
      <c r="M140" s="15">
        <v>0.31441047787666321</v>
      </c>
      <c r="N140" s="15">
        <f t="shared" si="6"/>
        <v>0.88651307986723882</v>
      </c>
      <c r="O140" s="15">
        <f t="shared" si="8"/>
        <v>78.618766784667969</v>
      </c>
      <c r="P140" s="15">
        <v>0.1</v>
      </c>
      <c r="Q140" s="15">
        <v>-0.75</v>
      </c>
      <c r="R140" s="15">
        <v>-0.69</v>
      </c>
      <c r="S140" s="16"/>
      <c r="T140">
        <v>202404</v>
      </c>
      <c r="U140" s="18">
        <v>163.73634338378906</v>
      </c>
      <c r="V140" s="2"/>
      <c r="W140" s="2"/>
      <c r="X140" s="2"/>
      <c r="Y140" s="2"/>
      <c r="Z140" s="2"/>
      <c r="AA140" s="2"/>
      <c r="AB140" s="6"/>
      <c r="AC140" s="4"/>
      <c r="AD140" s="5"/>
    </row>
    <row r="141" spans="1:30" x14ac:dyDescent="0.25">
      <c r="A141" s="7">
        <v>202102</v>
      </c>
      <c r="B141" s="7" t="s">
        <v>8</v>
      </c>
      <c r="C141" s="7" t="s">
        <v>9</v>
      </c>
      <c r="D141" s="7" t="s">
        <v>12</v>
      </c>
      <c r="E141" s="7">
        <v>80450</v>
      </c>
      <c r="F141" s="13">
        <v>3704</v>
      </c>
      <c r="G141" s="9">
        <v>2300</v>
      </c>
      <c r="H141" s="10">
        <f t="shared" si="7"/>
        <v>1.6104347826086955</v>
      </c>
      <c r="I141" s="10">
        <v>1.0038664805183659</v>
      </c>
      <c r="J141" s="11">
        <v>4.8491786310941534E-4</v>
      </c>
      <c r="K141" s="15">
        <v>3.866228461265564E-2</v>
      </c>
      <c r="L141" s="15">
        <v>854.4</v>
      </c>
      <c r="M141" s="15">
        <v>0.14015078544616699</v>
      </c>
      <c r="N141" s="15">
        <f t="shared" si="6"/>
        <v>-0.45486783214647997</v>
      </c>
      <c r="O141" s="15">
        <f t="shared" si="8"/>
        <v>73.956802368164063</v>
      </c>
      <c r="P141" s="15">
        <v>0.30009999999999998</v>
      </c>
      <c r="Q141" s="15">
        <v>-0.75</v>
      </c>
      <c r="R141" s="15">
        <v>-0.69</v>
      </c>
      <c r="S141" s="16"/>
      <c r="T141">
        <v>202405</v>
      </c>
      <c r="U141" s="18">
        <v>130.52186584472656</v>
      </c>
      <c r="V141" s="2"/>
      <c r="W141" s="2"/>
      <c r="X141" s="2"/>
      <c r="Y141" s="2"/>
      <c r="Z141" s="2"/>
      <c r="AA141" s="2"/>
      <c r="AB141" s="6"/>
      <c r="AC141" s="4"/>
      <c r="AD141" s="5"/>
    </row>
    <row r="142" spans="1:30" x14ac:dyDescent="0.25">
      <c r="A142" s="7">
        <v>202101</v>
      </c>
      <c r="B142" s="7" t="s">
        <v>8</v>
      </c>
      <c r="C142" s="7" t="s">
        <v>9</v>
      </c>
      <c r="D142" s="7" t="s">
        <v>12</v>
      </c>
      <c r="E142" s="7">
        <v>80450</v>
      </c>
      <c r="F142" s="13">
        <v>2041</v>
      </c>
      <c r="G142" s="9">
        <v>1479</v>
      </c>
      <c r="H142" s="10">
        <f t="shared" si="7"/>
        <v>1.3799864773495605</v>
      </c>
      <c r="I142" s="10">
        <v>0.98277073608052645</v>
      </c>
      <c r="J142" s="11">
        <v>2.6674082959142519E-4</v>
      </c>
      <c r="K142" s="15">
        <v>4.8653192818164825E-2</v>
      </c>
      <c r="L142" s="15">
        <v>854.4</v>
      </c>
      <c r="M142" s="15">
        <v>0.12384448945522308</v>
      </c>
      <c r="N142" s="15">
        <f t="shared" si="6"/>
        <v>-0.22142110355327252</v>
      </c>
      <c r="O142" s="15">
        <f t="shared" si="8"/>
        <v>77.418701171875</v>
      </c>
      <c r="P142" s="15">
        <v>1.9400000000000001E-2</v>
      </c>
      <c r="Q142" s="15">
        <v>-0.75</v>
      </c>
      <c r="R142" s="15">
        <v>-0.69</v>
      </c>
      <c r="S142" s="16"/>
      <c r="T142">
        <v>202406</v>
      </c>
      <c r="U142" s="18">
        <v>112.88140869140625</v>
      </c>
      <c r="V142" s="2"/>
      <c r="W142" s="2"/>
      <c r="X142" s="2"/>
      <c r="Y142" s="2"/>
      <c r="Z142" s="2"/>
      <c r="AA142" s="2"/>
      <c r="AB142" s="6"/>
      <c r="AC142" s="4"/>
      <c r="AD142" s="5"/>
    </row>
    <row r="143" spans="1:30" x14ac:dyDescent="0.25">
      <c r="A143" s="7">
        <v>202012</v>
      </c>
      <c r="B143" s="7" t="s">
        <v>8</v>
      </c>
      <c r="C143" s="7" t="s">
        <v>9</v>
      </c>
      <c r="D143" s="7" t="s">
        <v>12</v>
      </c>
      <c r="E143" s="7">
        <v>80450</v>
      </c>
      <c r="F143" s="13">
        <v>6079</v>
      </c>
      <c r="G143" s="9">
        <v>3420</v>
      </c>
      <c r="H143" s="10">
        <f t="shared" si="7"/>
        <v>1.777485380116959</v>
      </c>
      <c r="I143" s="10">
        <v>0.94248798541533407</v>
      </c>
      <c r="J143" s="11">
        <v>6.0369622172960801E-4</v>
      </c>
      <c r="K143" s="15">
        <v>4.249291867017746E-2</v>
      </c>
      <c r="L143" s="15">
        <v>700.4</v>
      </c>
      <c r="M143" s="15">
        <v>0.11803588271141052</v>
      </c>
      <c r="N143" s="15">
        <f t="shared" si="6"/>
        <v>-0.3653615559629908</v>
      </c>
      <c r="O143" s="15">
        <f t="shared" si="8"/>
        <v>64.067291259765625</v>
      </c>
      <c r="P143" s="15">
        <v>1.8499999999999999E-2</v>
      </c>
      <c r="Q143" s="15">
        <v>-0.25</v>
      </c>
      <c r="R143" s="15">
        <v>-0.84</v>
      </c>
      <c r="S143" s="16"/>
      <c r="T143">
        <v>202407</v>
      </c>
      <c r="U143" s="18">
        <v>92.394874572753906</v>
      </c>
      <c r="V143" s="2"/>
      <c r="W143" s="2"/>
      <c r="X143" s="2"/>
      <c r="Y143" s="2"/>
      <c r="Z143" s="2"/>
      <c r="AA143" s="2"/>
      <c r="AB143" s="6"/>
      <c r="AC143" s="4"/>
      <c r="AD143" s="5"/>
    </row>
    <row r="144" spans="1:30" x14ac:dyDescent="0.25">
      <c r="A144" s="7">
        <v>202011</v>
      </c>
      <c r="B144" s="7" t="s">
        <v>8</v>
      </c>
      <c r="C144" s="7" t="s">
        <v>9</v>
      </c>
      <c r="D144" s="7" t="s">
        <v>12</v>
      </c>
      <c r="E144" s="7">
        <v>80450</v>
      </c>
      <c r="F144" s="13">
        <v>1308</v>
      </c>
      <c r="G144" s="12">
        <v>765</v>
      </c>
      <c r="H144" s="10">
        <f t="shared" si="7"/>
        <v>1.7098039215686274</v>
      </c>
      <c r="I144" s="10">
        <v>1.0863212850750157</v>
      </c>
      <c r="J144" s="11">
        <v>1.6653953384973322E-4</v>
      </c>
      <c r="K144" s="15">
        <v>7.8006699681282043E-2</v>
      </c>
      <c r="L144" s="15">
        <v>700.4</v>
      </c>
      <c r="M144" s="15">
        <v>0.18354517221450806</v>
      </c>
      <c r="N144" s="15">
        <f t="shared" si="6"/>
        <v>0.46445049179922843</v>
      </c>
      <c r="O144" s="15">
        <f t="shared" si="8"/>
        <v>70.067466735839844</v>
      </c>
      <c r="P144" s="15">
        <v>1.6999999999999999E-3</v>
      </c>
      <c r="Q144" s="15">
        <v>-0.25</v>
      </c>
      <c r="R144" s="15">
        <v>-0.84</v>
      </c>
      <c r="S144" s="16"/>
      <c r="T144">
        <v>202408</v>
      </c>
      <c r="U144" s="18">
        <v>140.76402282714844</v>
      </c>
      <c r="V144" s="2"/>
      <c r="W144" s="2"/>
      <c r="X144" s="2"/>
      <c r="Y144" s="2"/>
      <c r="Z144" s="2"/>
      <c r="AA144" s="2"/>
      <c r="AB144" s="6"/>
      <c r="AC144" s="4"/>
      <c r="AD144" s="5"/>
    </row>
    <row r="145" spans="1:30" x14ac:dyDescent="0.25">
      <c r="A145" s="7">
        <v>202010</v>
      </c>
      <c r="B145" s="7" t="s">
        <v>8</v>
      </c>
      <c r="C145" s="7" t="s">
        <v>9</v>
      </c>
      <c r="D145" s="7" t="s">
        <v>12</v>
      </c>
      <c r="E145" s="7">
        <v>80450</v>
      </c>
      <c r="F145" s="13">
        <v>7003</v>
      </c>
      <c r="G145" s="9">
        <v>4230</v>
      </c>
      <c r="H145" s="10">
        <f t="shared" si="7"/>
        <v>1.6555555555555554</v>
      </c>
      <c r="I145" s="10">
        <v>0.97155903314254466</v>
      </c>
      <c r="J145" s="11">
        <v>6.6400816873222232E-4</v>
      </c>
      <c r="K145" s="15">
        <v>4.2181634344160557E-3</v>
      </c>
      <c r="L145" s="15">
        <v>700.4</v>
      </c>
      <c r="M145" s="15">
        <v>0.11810857802629471</v>
      </c>
      <c r="N145" s="15">
        <f t="shared" si="6"/>
        <v>-1.2596862973881235</v>
      </c>
      <c r="O145" s="15">
        <f t="shared" si="8"/>
        <v>76.083168029785156</v>
      </c>
      <c r="P145" s="15">
        <v>0.1973</v>
      </c>
      <c r="Q145" s="15">
        <v>-0.25</v>
      </c>
      <c r="R145" s="15">
        <v>-0.84</v>
      </c>
      <c r="S145" s="16"/>
      <c r="T145">
        <v>202409</v>
      </c>
      <c r="U145" s="18">
        <v>130.14187622070313</v>
      </c>
      <c r="V145" s="2"/>
      <c r="W145" s="2"/>
      <c r="X145" s="2"/>
      <c r="Y145" s="2"/>
      <c r="Z145" s="2"/>
      <c r="AA145" s="2"/>
      <c r="AB145" s="6"/>
      <c r="AC145" s="4"/>
      <c r="AD145" s="5"/>
    </row>
    <row r="146" spans="1:30" x14ac:dyDescent="0.25">
      <c r="A146" s="7">
        <v>202009</v>
      </c>
      <c r="B146" s="7" t="s">
        <v>8</v>
      </c>
      <c r="C146" s="7" t="s">
        <v>9</v>
      </c>
      <c r="D146" s="7" t="s">
        <v>12</v>
      </c>
      <c r="E146" s="7">
        <v>80450</v>
      </c>
      <c r="F146" s="13">
        <v>1465</v>
      </c>
      <c r="G146" s="9">
        <v>1100</v>
      </c>
      <c r="H146" s="10">
        <f t="shared" si="7"/>
        <v>1.3318181818181818</v>
      </c>
      <c r="I146" s="10">
        <v>0.9807629045425218</v>
      </c>
      <c r="J146" s="11">
        <v>1.1578340394672035E-4</v>
      </c>
      <c r="K146" s="15">
        <v>3.1367629766464233E-2</v>
      </c>
      <c r="L146" s="15">
        <v>700.4</v>
      </c>
      <c r="M146" s="15">
        <v>0.21509231626987457</v>
      </c>
      <c r="N146" s="15">
        <f t="shared" si="6"/>
        <v>-0.62531412942313302</v>
      </c>
      <c r="O146" s="15">
        <f t="shared" si="8"/>
        <v>80.37738037109375</v>
      </c>
      <c r="P146" s="15">
        <v>1.2699999999999999E-2</v>
      </c>
      <c r="Q146" s="15">
        <v>-0.25</v>
      </c>
      <c r="R146" s="15">
        <v>-0.84</v>
      </c>
      <c r="S146" s="16"/>
      <c r="T146">
        <v>202410</v>
      </c>
      <c r="U146" s="18">
        <v>130.689208984375</v>
      </c>
      <c r="V146" s="2"/>
      <c r="W146" s="2"/>
      <c r="X146" s="2"/>
      <c r="Y146" s="2"/>
      <c r="Z146" s="2"/>
      <c r="AA146" s="2"/>
      <c r="AB146" s="6"/>
      <c r="AC146" s="4"/>
      <c r="AD146" s="5"/>
    </row>
    <row r="147" spans="1:30" x14ac:dyDescent="0.25">
      <c r="A147" s="7">
        <v>202008</v>
      </c>
      <c r="B147" s="7" t="s">
        <v>8</v>
      </c>
      <c r="C147" s="7" t="s">
        <v>9</v>
      </c>
      <c r="D147" s="7" t="s">
        <v>12</v>
      </c>
      <c r="E147" s="7">
        <v>80450</v>
      </c>
      <c r="F147" s="13">
        <v>3225</v>
      </c>
      <c r="G147" s="9">
        <v>4110</v>
      </c>
      <c r="H147" s="10">
        <f t="shared" si="7"/>
        <v>0.78467153284671531</v>
      </c>
      <c r="I147" s="10">
        <v>0.89543553520613006</v>
      </c>
      <c r="J147" s="11">
        <v>2.3713484634434024E-4</v>
      </c>
      <c r="K147" s="15">
        <v>2.6715347543358803E-2</v>
      </c>
      <c r="L147" s="15">
        <v>700.4</v>
      </c>
      <c r="M147" s="15">
        <v>9.7956277430057526E-2</v>
      </c>
      <c r="N147" s="15">
        <f t="shared" si="6"/>
        <v>-0.73401896817617274</v>
      </c>
      <c r="O147" s="15">
        <f t="shared" si="8"/>
        <v>65.466049194335938</v>
      </c>
      <c r="P147" s="15">
        <v>0.93859999999999999</v>
      </c>
      <c r="Q147" s="15">
        <v>-0.25</v>
      </c>
      <c r="R147" s="15">
        <v>-0.84</v>
      </c>
      <c r="S147" s="16"/>
      <c r="T147">
        <v>202411</v>
      </c>
      <c r="U147" s="18">
        <v>128.48176574707031</v>
      </c>
      <c r="V147" s="2"/>
      <c r="W147" s="2"/>
      <c r="X147" s="2"/>
      <c r="Y147" s="2"/>
      <c r="Z147" s="2"/>
      <c r="AA147" s="2"/>
      <c r="AB147" s="6"/>
      <c r="AC147" s="4"/>
      <c r="AD147" s="5"/>
    </row>
    <row r="148" spans="1:30" x14ac:dyDescent="0.25">
      <c r="A148" s="7">
        <v>202007</v>
      </c>
      <c r="B148" s="7" t="s">
        <v>8</v>
      </c>
      <c r="C148" s="7" t="s">
        <v>9</v>
      </c>
      <c r="D148" s="7" t="s">
        <v>12</v>
      </c>
      <c r="E148" s="7">
        <v>80450</v>
      </c>
      <c r="F148" s="13">
        <v>213</v>
      </c>
      <c r="G148" s="12">
        <v>200</v>
      </c>
      <c r="H148" s="10">
        <f t="shared" si="7"/>
        <v>1.0649999999999999</v>
      </c>
      <c r="I148" s="10">
        <v>0.90371560744146329</v>
      </c>
      <c r="J148" s="11">
        <v>1.540491827690854E-5</v>
      </c>
      <c r="K148" s="15">
        <v>1.800261065363884E-2</v>
      </c>
      <c r="L148" s="15">
        <v>700.4</v>
      </c>
      <c r="M148" s="15">
        <v>0.22953328490257263</v>
      </c>
      <c r="N148" s="15">
        <f t="shared" si="6"/>
        <v>-0.93760005231394072</v>
      </c>
      <c r="O148" s="15">
        <f t="shared" si="8"/>
        <v>66.473281860351563</v>
      </c>
      <c r="P148" s="15">
        <v>1</v>
      </c>
      <c r="Q148" s="15">
        <v>-0.25</v>
      </c>
      <c r="R148" s="15">
        <v>-0.84</v>
      </c>
      <c r="S148" s="16"/>
      <c r="T148">
        <v>202412</v>
      </c>
      <c r="U148" s="18">
        <v>141.9027099609375</v>
      </c>
      <c r="V148" s="2"/>
      <c r="W148" s="2"/>
      <c r="X148" s="2"/>
      <c r="Y148" s="2"/>
      <c r="Z148" s="2"/>
      <c r="AA148" s="2"/>
      <c r="AB148" s="6"/>
      <c r="AC148" s="4"/>
      <c r="AD148" s="5"/>
    </row>
    <row r="149" spans="1:30" x14ac:dyDescent="0.25">
      <c r="A149" s="7">
        <v>202006</v>
      </c>
      <c r="B149" s="7" t="s">
        <v>8</v>
      </c>
      <c r="C149" s="7" t="s">
        <v>9</v>
      </c>
      <c r="D149" s="7" t="s">
        <v>12</v>
      </c>
      <c r="E149" s="7">
        <v>80450</v>
      </c>
      <c r="F149" s="13">
        <v>4457</v>
      </c>
      <c r="G149" s="9">
        <v>3267</v>
      </c>
      <c r="H149" s="10">
        <f t="shared" si="7"/>
        <v>1.364248546066728</v>
      </c>
      <c r="I149" s="10">
        <v>1.3162333711333978</v>
      </c>
      <c r="J149" s="11">
        <v>3.3987714398269516E-4</v>
      </c>
      <c r="K149" s="15">
        <v>8.3056479692459106E-2</v>
      </c>
      <c r="L149" s="15">
        <v>700.4</v>
      </c>
      <c r="M149" s="15">
        <v>0.32299742102622986</v>
      </c>
      <c r="N149" s="15">
        <f t="shared" si="6"/>
        <v>0.58244323074508442</v>
      </c>
      <c r="O149" s="15">
        <f t="shared" si="8"/>
        <v>71.227859497070313</v>
      </c>
      <c r="P149" s="15">
        <v>0.61980000000000002</v>
      </c>
      <c r="Q149" s="15">
        <v>-0.25</v>
      </c>
      <c r="R149" s="15">
        <v>-0.84</v>
      </c>
      <c r="S149" s="16"/>
      <c r="T149">
        <v>202501</v>
      </c>
      <c r="U149" s="18">
        <v>112.32621765136719</v>
      </c>
      <c r="V149" s="2"/>
      <c r="W149" s="2"/>
      <c r="X149" s="2"/>
      <c r="Y149" s="2"/>
      <c r="Z149" s="2"/>
      <c r="AA149" s="2"/>
      <c r="AB149" s="6"/>
      <c r="AC149" s="4"/>
      <c r="AD149" s="5"/>
    </row>
    <row r="150" spans="1:30" x14ac:dyDescent="0.25">
      <c r="A150" s="7">
        <v>202003</v>
      </c>
      <c r="B150" s="7" t="s">
        <v>8</v>
      </c>
      <c r="C150" s="7" t="s">
        <v>9</v>
      </c>
      <c r="D150" s="7" t="s">
        <v>12</v>
      </c>
      <c r="E150" s="7">
        <v>80450</v>
      </c>
      <c r="F150" s="13">
        <v>835</v>
      </c>
      <c r="G150" s="12">
        <v>229</v>
      </c>
      <c r="H150" s="10">
        <f t="shared" si="7"/>
        <v>3.6462882096069871</v>
      </c>
      <c r="I150" s="10">
        <v>1.1449394135718842</v>
      </c>
      <c r="J150" s="11">
        <v>9.9597542433622408E-5</v>
      </c>
      <c r="K150" s="15">
        <v>3.4205574542284012E-2</v>
      </c>
      <c r="L150" s="15">
        <v>700.4</v>
      </c>
      <c r="M150" s="15">
        <v>0.11971951276063919</v>
      </c>
      <c r="N150" s="15">
        <f t="shared" si="6"/>
        <v>-0.55900294827565833</v>
      </c>
      <c r="O150" s="15">
        <f t="shared" si="8"/>
        <v>81.540031433105469</v>
      </c>
      <c r="P150" s="15">
        <v>6.2899999999999998E-2</v>
      </c>
      <c r="Q150" s="15">
        <v>-0.25</v>
      </c>
      <c r="R150" s="15">
        <v>-0.84</v>
      </c>
      <c r="S150" s="16"/>
      <c r="T150">
        <v>202502</v>
      </c>
      <c r="U150" s="18">
        <v>136.20162963867188</v>
      </c>
      <c r="V150" s="2"/>
      <c r="W150" s="2"/>
      <c r="X150" s="2"/>
      <c r="Y150" s="2"/>
      <c r="Z150" s="2"/>
      <c r="AA150" s="2"/>
      <c r="AB150" s="6"/>
      <c r="AC150" s="4"/>
      <c r="AD150" s="5"/>
    </row>
    <row r="151" spans="1:30" x14ac:dyDescent="0.25">
      <c r="A151" s="7">
        <v>202002</v>
      </c>
      <c r="B151" s="7" t="s">
        <v>8</v>
      </c>
      <c r="C151" s="7" t="s">
        <v>9</v>
      </c>
      <c r="D151" s="7" t="s">
        <v>12</v>
      </c>
      <c r="E151" s="7">
        <v>80450</v>
      </c>
      <c r="F151" s="13">
        <v>863</v>
      </c>
      <c r="G151" s="12">
        <v>517</v>
      </c>
      <c r="H151" s="10">
        <f t="shared" si="7"/>
        <v>1.6692456479690523</v>
      </c>
      <c r="I151" s="10">
        <v>1.106555595596513</v>
      </c>
      <c r="J151" s="11">
        <v>1.1452754732555617E-4</v>
      </c>
      <c r="K151" s="15">
        <v>4.9041461199522018E-2</v>
      </c>
      <c r="L151" s="15">
        <v>700.4</v>
      </c>
      <c r="M151" s="15">
        <v>0.21399910748004913</v>
      </c>
      <c r="N151" s="15">
        <f t="shared" si="6"/>
        <v>-0.21234885690866459</v>
      </c>
      <c r="O151" s="15">
        <f t="shared" si="8"/>
        <v>75.955558776855469</v>
      </c>
      <c r="P151" s="15">
        <v>5.4699999999999999E-2</v>
      </c>
      <c r="Q151" s="15">
        <v>-0.25</v>
      </c>
      <c r="R151" s="15">
        <v>-0.84</v>
      </c>
      <c r="S151" s="16"/>
      <c r="T151">
        <v>202503</v>
      </c>
      <c r="U151" s="18">
        <v>171.87290954589844</v>
      </c>
      <c r="V151" s="2"/>
      <c r="W151" s="2"/>
      <c r="X151" s="2"/>
      <c r="Y151" s="2"/>
      <c r="Z151" s="2"/>
      <c r="AA151" s="2"/>
      <c r="AB151" s="6"/>
      <c r="AC151" s="4"/>
      <c r="AD151" s="5"/>
    </row>
    <row r="152" spans="1:30" x14ac:dyDescent="0.25">
      <c r="A152" s="7">
        <v>202001</v>
      </c>
      <c r="B152" s="7" t="s">
        <v>8</v>
      </c>
      <c r="C152" s="7" t="s">
        <v>9</v>
      </c>
      <c r="D152" s="7" t="s">
        <v>12</v>
      </c>
      <c r="E152" s="7">
        <v>80450</v>
      </c>
      <c r="F152" s="13">
        <v>3373</v>
      </c>
      <c r="G152" s="9">
        <v>2418</v>
      </c>
      <c r="H152" s="10">
        <f t="shared" si="7"/>
        <v>1.3949545078577337</v>
      </c>
      <c r="I152" s="10">
        <v>0.95913721107231564</v>
      </c>
      <c r="J152" s="11">
        <v>4.2390673096777545E-4</v>
      </c>
      <c r="K152" s="15">
        <v>1.3236267492175102E-2</v>
      </c>
      <c r="L152" s="15">
        <v>700.4</v>
      </c>
      <c r="M152" s="15">
        <v>0.18089565634727478</v>
      </c>
      <c r="N152" s="15">
        <f t="shared" si="6"/>
        <v>-1.0489700294480273</v>
      </c>
      <c r="O152" s="15">
        <f t="shared" si="8"/>
        <v>138.42094421386719</v>
      </c>
      <c r="P152" s="15">
        <v>4.48E-2</v>
      </c>
      <c r="Q152" s="15">
        <v>-0.25</v>
      </c>
      <c r="R152" s="15">
        <v>-0.84</v>
      </c>
      <c r="S152" s="16"/>
      <c r="T152">
        <v>202504</v>
      </c>
      <c r="U152" s="18">
        <v>140.52890014648438</v>
      </c>
    </row>
    <row r="153" spans="1:30" x14ac:dyDescent="0.25">
      <c r="A153" s="7">
        <v>201912</v>
      </c>
      <c r="B153" s="7" t="s">
        <v>8</v>
      </c>
      <c r="C153" s="7" t="s">
        <v>9</v>
      </c>
      <c r="D153" s="7" t="s">
        <v>12</v>
      </c>
      <c r="E153" s="7">
        <v>80450</v>
      </c>
      <c r="F153" s="13">
        <v>12559</v>
      </c>
      <c r="G153" s="9">
        <v>14325</v>
      </c>
      <c r="H153" s="10">
        <f t="shared" si="7"/>
        <v>0.87671902268760904</v>
      </c>
      <c r="I153" s="10">
        <v>0.89237959370955766</v>
      </c>
      <c r="J153" s="11">
        <v>1.3606314786139045E-3</v>
      </c>
      <c r="K153" s="15">
        <v>1.456169318407774E-2</v>
      </c>
      <c r="L153" s="15">
        <v>802.4</v>
      </c>
      <c r="M153" s="15">
        <v>9.2224054038524628E-2</v>
      </c>
      <c r="N153" s="15">
        <f t="shared" si="6"/>
        <v>-1.0180002431780022</v>
      </c>
      <c r="O153" s="15">
        <f t="shared" si="8"/>
        <v>74.279891967773438</v>
      </c>
      <c r="P153" s="15">
        <v>4.4900000000000002E-2</v>
      </c>
      <c r="Q153" s="15">
        <v>-0.28000000000000003</v>
      </c>
      <c r="R153" s="15">
        <v>-0.8</v>
      </c>
      <c r="S153" s="16"/>
      <c r="T153">
        <v>202505</v>
      </c>
      <c r="U153" s="18">
        <v>165.22462463378906</v>
      </c>
    </row>
    <row r="154" spans="1:30" x14ac:dyDescent="0.25">
      <c r="A154" s="7">
        <v>201911</v>
      </c>
      <c r="B154" s="7" t="s">
        <v>8</v>
      </c>
      <c r="C154" s="7" t="s">
        <v>9</v>
      </c>
      <c r="D154" s="7" t="s">
        <v>12</v>
      </c>
      <c r="E154" s="7">
        <v>80450</v>
      </c>
      <c r="F154" s="13">
        <v>182</v>
      </c>
      <c r="G154" s="12">
        <v>160</v>
      </c>
      <c r="H154" s="10">
        <f t="shared" si="7"/>
        <v>1.1375</v>
      </c>
      <c r="I154" s="10">
        <v>0.90338520569989933</v>
      </c>
      <c r="J154" s="11">
        <v>2.0072419525038027E-5</v>
      </c>
      <c r="K154" s="15">
        <v>2.6408450677990913E-2</v>
      </c>
      <c r="L154" s="15">
        <v>802.4</v>
      </c>
      <c r="M154" s="15">
        <v>7.9225353896617889E-2</v>
      </c>
      <c r="N154" s="15">
        <f t="shared" si="6"/>
        <v>-0.74118989475881691</v>
      </c>
      <c r="O154" s="15">
        <f t="shared" si="8"/>
        <v>73.078384399414063</v>
      </c>
      <c r="P154" s="15">
        <v>2.9999999999999997E-4</v>
      </c>
      <c r="Q154" s="15">
        <v>-0.28000000000000003</v>
      </c>
      <c r="R154" s="15">
        <v>-0.8</v>
      </c>
      <c r="S154" s="16"/>
      <c r="T154">
        <v>202506</v>
      </c>
      <c r="U154" s="18">
        <v>220.12001037597656</v>
      </c>
    </row>
    <row r="155" spans="1:30" x14ac:dyDescent="0.25">
      <c r="A155" s="7">
        <v>201910</v>
      </c>
      <c r="B155" s="7" t="s">
        <v>8</v>
      </c>
      <c r="C155" s="7" t="s">
        <v>9</v>
      </c>
      <c r="D155" s="7" t="s">
        <v>12</v>
      </c>
      <c r="E155" s="7">
        <v>80450</v>
      </c>
      <c r="F155" s="13">
        <v>1763</v>
      </c>
      <c r="G155" s="9">
        <v>2100</v>
      </c>
      <c r="H155" s="10">
        <f t="shared" si="7"/>
        <v>0.83952380952380956</v>
      </c>
      <c r="I155" s="10">
        <v>0.97781387344264203</v>
      </c>
      <c r="J155" s="11">
        <v>1.9808078482685457E-4</v>
      </c>
      <c r="K155" s="15">
        <v>2.9429076239466667E-2</v>
      </c>
      <c r="L155" s="15">
        <v>802.4</v>
      </c>
      <c r="M155" s="15">
        <v>0.1681661456823349</v>
      </c>
      <c r="N155" s="15">
        <f t="shared" ref="N155:N218" si="9">(K155-$S$90)/$S$91</f>
        <v>-0.67061020959639106</v>
      </c>
      <c r="O155" s="15">
        <f t="shared" si="8"/>
        <v>97.83673095703125</v>
      </c>
      <c r="P155" s="15">
        <v>1.49E-2</v>
      </c>
      <c r="Q155" s="15">
        <v>-0.28000000000000003</v>
      </c>
      <c r="R155" s="15">
        <v>-0.8</v>
      </c>
      <c r="S155" s="16"/>
      <c r="T155">
        <v>202507</v>
      </c>
      <c r="U155" s="18">
        <v>134.55960083007813</v>
      </c>
    </row>
    <row r="156" spans="1:30" x14ac:dyDescent="0.25">
      <c r="A156" s="7">
        <v>201909</v>
      </c>
      <c r="B156" s="7" t="s">
        <v>8</v>
      </c>
      <c r="C156" s="7" t="s">
        <v>9</v>
      </c>
      <c r="D156" s="7" t="s">
        <v>12</v>
      </c>
      <c r="E156" s="7">
        <v>80450</v>
      </c>
      <c r="F156" s="13">
        <v>6228</v>
      </c>
      <c r="G156" s="9">
        <v>1423</v>
      </c>
      <c r="H156" s="10">
        <f t="shared" si="7"/>
        <v>4.3766690091356288</v>
      </c>
      <c r="I156" s="10">
        <v>1.0319443499431278</v>
      </c>
      <c r="J156" s="11">
        <v>6.6019510100889637E-4</v>
      </c>
      <c r="K156" s="15">
        <v>2.6573365554213524E-2</v>
      </c>
      <c r="L156" s="15">
        <v>802.4</v>
      </c>
      <c r="M156" s="15">
        <v>0.15501129627227783</v>
      </c>
      <c r="N156" s="15">
        <f t="shared" si="9"/>
        <v>-0.73733650750326263</v>
      </c>
      <c r="O156" s="15">
        <f t="shared" si="8"/>
        <v>90.367988586425781</v>
      </c>
      <c r="P156" s="15">
        <v>9.0800000000000006E-2</v>
      </c>
      <c r="Q156" s="15">
        <v>-0.28000000000000003</v>
      </c>
      <c r="R156" s="15">
        <v>-0.8</v>
      </c>
      <c r="T156">
        <v>202508</v>
      </c>
      <c r="U156" s="18">
        <v>134.59208679199219</v>
      </c>
    </row>
    <row r="157" spans="1:30" x14ac:dyDescent="0.25">
      <c r="A157" s="7">
        <v>201908</v>
      </c>
      <c r="B157" s="7" t="s">
        <v>8</v>
      </c>
      <c r="C157" s="7" t="s">
        <v>9</v>
      </c>
      <c r="D157" s="7" t="s">
        <v>12</v>
      </c>
      <c r="E157" s="7">
        <v>80450</v>
      </c>
      <c r="F157" s="13">
        <v>1444</v>
      </c>
      <c r="G157" s="9">
        <v>1000</v>
      </c>
      <c r="H157" s="10">
        <f t="shared" si="7"/>
        <v>1.444</v>
      </c>
      <c r="I157" s="10">
        <v>0.73745730747442462</v>
      </c>
      <c r="J157" s="11">
        <v>1.4959464409735173E-4</v>
      </c>
      <c r="K157" s="15">
        <v>4.4243872165679932E-2</v>
      </c>
      <c r="L157" s="15">
        <v>802.4</v>
      </c>
      <c r="M157" s="15">
        <v>0.34510219097137451</v>
      </c>
      <c r="N157" s="15">
        <f t="shared" si="9"/>
        <v>-0.3244489224930428</v>
      </c>
      <c r="O157" s="15">
        <f t="shared" si="8"/>
        <v>103.4044189453125</v>
      </c>
      <c r="P157" s="15">
        <v>1.1900000000000001E-2</v>
      </c>
      <c r="Q157" s="15">
        <v>-0.28000000000000003</v>
      </c>
      <c r="R157" s="15">
        <v>-0.8</v>
      </c>
      <c r="T157">
        <v>202509</v>
      </c>
      <c r="U157" s="18">
        <v>124.08848571777344</v>
      </c>
    </row>
    <row r="158" spans="1:30" x14ac:dyDescent="0.25">
      <c r="A158" s="7">
        <v>201907</v>
      </c>
      <c r="B158" s="7" t="s">
        <v>8</v>
      </c>
      <c r="C158" s="7" t="s">
        <v>9</v>
      </c>
      <c r="D158" s="7" t="s">
        <v>12</v>
      </c>
      <c r="E158" s="7">
        <v>80450</v>
      </c>
      <c r="F158" s="13">
        <v>551</v>
      </c>
      <c r="G158" s="12">
        <v>20</v>
      </c>
      <c r="H158" s="10">
        <f t="shared" si="7"/>
        <v>27.55</v>
      </c>
      <c r="I158" s="10">
        <v>0.80024868860197618</v>
      </c>
      <c r="J158" s="11">
        <v>4.3851425322534791E-5</v>
      </c>
      <c r="K158" s="15">
        <v>2.6546323671936989E-2</v>
      </c>
      <c r="L158" s="15">
        <v>802.4</v>
      </c>
      <c r="M158" s="15">
        <v>0.17255109548568726</v>
      </c>
      <c r="N158" s="15">
        <f t="shared" si="9"/>
        <v>-0.73796836587115133</v>
      </c>
      <c r="O158" s="15">
        <f t="shared" si="8"/>
        <v>93.521255493164063</v>
      </c>
      <c r="P158" s="15">
        <v>8.0000000000000002E-3</v>
      </c>
      <c r="Q158" s="15">
        <v>-0.28000000000000003</v>
      </c>
      <c r="R158" s="15">
        <v>-0.8</v>
      </c>
      <c r="T158">
        <v>202510</v>
      </c>
      <c r="U158" s="18">
        <v>151.41043090820313</v>
      </c>
    </row>
    <row r="159" spans="1:30" x14ac:dyDescent="0.25">
      <c r="A159" s="7">
        <v>201906</v>
      </c>
      <c r="B159" s="7" t="s">
        <v>8</v>
      </c>
      <c r="C159" s="7" t="s">
        <v>9</v>
      </c>
      <c r="D159" s="7" t="s">
        <v>12</v>
      </c>
      <c r="E159" s="7">
        <v>80450</v>
      </c>
      <c r="F159" s="13">
        <v>2608</v>
      </c>
      <c r="G159" s="9">
        <v>2000</v>
      </c>
      <c r="H159" s="10">
        <f t="shared" si="7"/>
        <v>1.304</v>
      </c>
      <c r="I159" s="10">
        <v>1.1154855021525025</v>
      </c>
      <c r="J159" s="11">
        <v>1.5818139912903188E-4</v>
      </c>
      <c r="K159" s="15">
        <v>5.1773231476545334E-2</v>
      </c>
      <c r="L159" s="15">
        <v>802.4</v>
      </c>
      <c r="M159" s="15">
        <v>0.20709292590618134</v>
      </c>
      <c r="N159" s="15">
        <f t="shared" si="9"/>
        <v>-0.14851854025260722</v>
      </c>
      <c r="O159" s="15">
        <f t="shared" si="8"/>
        <v>106.58845520019531</v>
      </c>
      <c r="P159" s="15">
        <v>3.04E-2</v>
      </c>
      <c r="Q159" s="15">
        <v>-0.28000000000000003</v>
      </c>
      <c r="R159" s="15">
        <v>-0.8</v>
      </c>
    </row>
    <row r="160" spans="1:30" x14ac:dyDescent="0.25">
      <c r="A160" s="7">
        <v>201905</v>
      </c>
      <c r="B160" s="7" t="s">
        <v>8</v>
      </c>
      <c r="C160" s="7" t="s">
        <v>9</v>
      </c>
      <c r="D160" s="7" t="s">
        <v>12</v>
      </c>
      <c r="E160" s="7">
        <v>80450</v>
      </c>
      <c r="F160" s="13">
        <v>2279</v>
      </c>
      <c r="G160" s="9">
        <v>1410</v>
      </c>
      <c r="H160" s="10">
        <f t="shared" si="7"/>
        <v>1.6163120567375886</v>
      </c>
      <c r="I160" s="10">
        <v>1.2825428641450574</v>
      </c>
      <c r="J160" s="11">
        <v>7.8607726439317298E-5</v>
      </c>
      <c r="K160" s="15">
        <v>2.1490586921572685E-2</v>
      </c>
      <c r="L160" s="15">
        <v>802.4</v>
      </c>
      <c r="M160" s="15">
        <v>0.26218515634536743</v>
      </c>
      <c r="N160" s="15">
        <f t="shared" si="9"/>
        <v>-0.85610028948848471</v>
      </c>
      <c r="O160" s="15">
        <f t="shared" si="8"/>
        <v>106.47190093994141</v>
      </c>
      <c r="P160" s="15">
        <v>7.0900000000000005E-2</v>
      </c>
      <c r="Q160" s="15">
        <v>-0.28000000000000003</v>
      </c>
      <c r="R160" s="15">
        <v>-0.8</v>
      </c>
    </row>
    <row r="161" spans="1:18" x14ac:dyDescent="0.25">
      <c r="A161" s="7">
        <v>201904</v>
      </c>
      <c r="B161" s="7" t="s">
        <v>8</v>
      </c>
      <c r="C161" s="7" t="s">
        <v>9</v>
      </c>
      <c r="D161" s="7" t="s">
        <v>12</v>
      </c>
      <c r="E161" s="7">
        <v>80450</v>
      </c>
      <c r="F161" s="13">
        <v>20934</v>
      </c>
      <c r="G161" s="9">
        <v>38479</v>
      </c>
      <c r="H161" s="10">
        <f t="shared" si="7"/>
        <v>0.54403700719873183</v>
      </c>
      <c r="I161" s="10">
        <v>1.3223455244908549</v>
      </c>
      <c r="J161" s="11">
        <v>1.083524445085797E-3</v>
      </c>
      <c r="K161" s="15">
        <v>3.1336735934019089E-2</v>
      </c>
      <c r="L161" s="15">
        <v>802.4</v>
      </c>
      <c r="M161" s="15">
        <v>0.35365745425224304</v>
      </c>
      <c r="N161" s="15">
        <f t="shared" si="9"/>
        <v>-0.62603599213768069</v>
      </c>
      <c r="O161" s="15">
        <f t="shared" si="8"/>
        <v>79.253448486328125</v>
      </c>
      <c r="P161" s="15">
        <v>0.106</v>
      </c>
      <c r="Q161" s="15">
        <v>-0.28000000000000003</v>
      </c>
      <c r="R161" s="15">
        <v>-0.8</v>
      </c>
    </row>
    <row r="162" spans="1:18" x14ac:dyDescent="0.25">
      <c r="A162" s="7">
        <v>201903</v>
      </c>
      <c r="B162" s="7" t="s">
        <v>8</v>
      </c>
      <c r="C162" s="7" t="s">
        <v>9</v>
      </c>
      <c r="D162" s="7" t="s">
        <v>12</v>
      </c>
      <c r="E162" s="7">
        <v>80450</v>
      </c>
      <c r="F162" s="13">
        <v>3151</v>
      </c>
      <c r="G162" s="9">
        <v>2162</v>
      </c>
      <c r="H162" s="10">
        <f t="shared" si="7"/>
        <v>1.4574468085106382</v>
      </c>
      <c r="I162" s="10">
        <v>1.1582068510596883</v>
      </c>
      <c r="J162" s="11">
        <v>2.3725431923709371E-4</v>
      </c>
      <c r="K162" s="15">
        <v>2.0855927839875221E-2</v>
      </c>
      <c r="L162" s="15">
        <v>802.4</v>
      </c>
      <c r="M162" s="15">
        <v>0.30866771936416626</v>
      </c>
      <c r="N162" s="15">
        <f t="shared" si="9"/>
        <v>-0.87092968070564603</v>
      </c>
      <c r="O162" s="15">
        <f t="shared" si="8"/>
        <v>82.328292846679688</v>
      </c>
      <c r="P162" s="15">
        <v>7.1599999999999997E-2</v>
      </c>
      <c r="Q162" s="15">
        <v>-0.28000000000000003</v>
      </c>
      <c r="R162" s="15">
        <v>-0.8</v>
      </c>
    </row>
    <row r="163" spans="1:18" x14ac:dyDescent="0.25">
      <c r="A163" s="7">
        <v>201902</v>
      </c>
      <c r="B163" s="7" t="s">
        <v>8</v>
      </c>
      <c r="C163" s="7" t="s">
        <v>9</v>
      </c>
      <c r="D163" s="7" t="s">
        <v>12</v>
      </c>
      <c r="E163" s="7">
        <v>80450</v>
      </c>
      <c r="F163" s="13">
        <v>3174</v>
      </c>
      <c r="G163" s="9">
        <v>2884</v>
      </c>
      <c r="H163" s="10">
        <f t="shared" si="7"/>
        <v>1.1005547850208044</v>
      </c>
      <c r="I163" s="10">
        <v>0.96792293844307509</v>
      </c>
      <c r="J163" s="11">
        <v>4.1482138240859357E-4</v>
      </c>
      <c r="K163" s="15">
        <v>1.4162968844175339E-2</v>
      </c>
      <c r="L163" s="15">
        <v>802.4</v>
      </c>
      <c r="M163" s="15">
        <v>0.3635161817073822</v>
      </c>
      <c r="N163" s="15">
        <f t="shared" si="9"/>
        <v>-1.0273168028786883</v>
      </c>
      <c r="O163" s="15">
        <f t="shared" si="8"/>
        <v>96.800163269042969</v>
      </c>
      <c r="P163" s="15">
        <v>6.5100000000000005E-2</v>
      </c>
      <c r="Q163" s="15">
        <v>-0.28000000000000003</v>
      </c>
      <c r="R163" s="15">
        <v>-0.8</v>
      </c>
    </row>
    <row r="164" spans="1:18" x14ac:dyDescent="0.25">
      <c r="A164" s="7">
        <v>201901</v>
      </c>
      <c r="B164" s="7" t="s">
        <v>8</v>
      </c>
      <c r="C164" s="7" t="s">
        <v>9</v>
      </c>
      <c r="D164" s="7" t="s">
        <v>12</v>
      </c>
      <c r="E164" s="7">
        <v>80450</v>
      </c>
      <c r="F164" s="13">
        <v>186</v>
      </c>
      <c r="G164" s="12">
        <v>150</v>
      </c>
      <c r="H164" s="10">
        <f t="shared" si="7"/>
        <v>1.24</v>
      </c>
      <c r="I164" s="10">
        <v>0.87053230698516371</v>
      </c>
      <c r="J164" s="11">
        <v>2.5259397718180085E-5</v>
      </c>
      <c r="K164" s="15">
        <v>4.2498938739299774E-2</v>
      </c>
      <c r="L164" s="15">
        <v>802.4</v>
      </c>
      <c r="M164" s="15">
        <v>8.9247770607471466E-2</v>
      </c>
      <c r="N164" s="15">
        <f t="shared" si="9"/>
        <v>-0.36522089152952775</v>
      </c>
      <c r="O164" s="15">
        <f t="shared" si="8"/>
        <v>87.424102783203125</v>
      </c>
      <c r="P164" s="15">
        <v>1.1999999999999999E-3</v>
      </c>
      <c r="Q164" s="15">
        <v>-0.28000000000000003</v>
      </c>
      <c r="R164" s="15">
        <v>-0.8</v>
      </c>
    </row>
    <row r="165" spans="1:18" x14ac:dyDescent="0.25">
      <c r="A165" s="7">
        <v>201812</v>
      </c>
      <c r="B165" s="7" t="s">
        <v>8</v>
      </c>
      <c r="C165" s="7" t="s">
        <v>9</v>
      </c>
      <c r="D165" s="7" t="s">
        <v>12</v>
      </c>
      <c r="E165" s="7">
        <v>80450</v>
      </c>
      <c r="F165" s="13">
        <v>2261</v>
      </c>
      <c r="G165" s="9">
        <v>1420</v>
      </c>
      <c r="H165" s="10">
        <f t="shared" si="7"/>
        <v>1.5922535211267606</v>
      </c>
      <c r="I165" s="10">
        <v>0.79758722781166136</v>
      </c>
      <c r="J165" s="11">
        <v>2.687177161394879E-4</v>
      </c>
      <c r="K165" s="15">
        <v>1.8774935975670815E-2</v>
      </c>
      <c r="L165" s="15">
        <v>768.6</v>
      </c>
      <c r="M165" s="15">
        <v>7.9793475568294525E-2</v>
      </c>
      <c r="N165" s="15">
        <f t="shared" si="9"/>
        <v>-0.91955396319677318</v>
      </c>
      <c r="O165" s="15">
        <f t="shared" si="8"/>
        <v>90.607666015625</v>
      </c>
      <c r="P165" s="15">
        <v>2.0799999999999999E-2</v>
      </c>
      <c r="Q165" s="15">
        <v>-0.24</v>
      </c>
      <c r="R165" s="15">
        <v>-1</v>
      </c>
    </row>
    <row r="166" spans="1:18" x14ac:dyDescent="0.25">
      <c r="A166" s="7">
        <v>201811</v>
      </c>
      <c r="B166" s="7" t="s">
        <v>8</v>
      </c>
      <c r="C166" s="7" t="s">
        <v>9</v>
      </c>
      <c r="D166" s="7" t="s">
        <v>12</v>
      </c>
      <c r="E166" s="7">
        <v>80450</v>
      </c>
      <c r="F166" s="13">
        <v>2284</v>
      </c>
      <c r="G166" s="9">
        <v>1770</v>
      </c>
      <c r="H166" s="10">
        <f t="shared" si="7"/>
        <v>1.2903954802259887</v>
      </c>
      <c r="I166" s="10">
        <v>0.89713798650890697</v>
      </c>
      <c r="J166" s="11">
        <v>3.0964658939330284E-4</v>
      </c>
      <c r="K166" s="15">
        <v>1.6954181715846062E-2</v>
      </c>
      <c r="L166" s="15">
        <v>768.6</v>
      </c>
      <c r="M166" s="15">
        <v>0.18225744366645813</v>
      </c>
      <c r="N166" s="15">
        <f t="shared" si="9"/>
        <v>-0.96209755550941745</v>
      </c>
      <c r="O166" s="15">
        <f t="shared" si="8"/>
        <v>80.407585144042969</v>
      </c>
      <c r="P166" s="15">
        <v>6.6E-3</v>
      </c>
      <c r="Q166" s="15">
        <v>-0.24</v>
      </c>
      <c r="R166" s="15">
        <v>-1</v>
      </c>
    </row>
    <row r="167" spans="1:18" x14ac:dyDescent="0.25">
      <c r="A167" s="7">
        <v>201810</v>
      </c>
      <c r="B167" s="7" t="s">
        <v>8</v>
      </c>
      <c r="C167" s="7" t="s">
        <v>9</v>
      </c>
      <c r="D167" s="7" t="s">
        <v>12</v>
      </c>
      <c r="E167" s="7">
        <v>80450</v>
      </c>
      <c r="F167" s="13">
        <v>1696</v>
      </c>
      <c r="G167" s="9">
        <v>1092</v>
      </c>
      <c r="H167" s="10">
        <f t="shared" si="7"/>
        <v>1.5531135531135531</v>
      </c>
      <c r="I167" s="10">
        <v>0.88552039203519117</v>
      </c>
      <c r="J167" s="11">
        <v>1.9444780435065497E-4</v>
      </c>
      <c r="K167" s="15">
        <v>2.8835063800215721E-2</v>
      </c>
      <c r="L167" s="15">
        <v>768.6</v>
      </c>
      <c r="M167" s="15">
        <v>0.20596474409103394</v>
      </c>
      <c r="N167" s="15">
        <f t="shared" si="9"/>
        <v>-0.68448985475320867</v>
      </c>
      <c r="O167" s="15">
        <f t="shared" si="8"/>
        <v>92.0164794921875</v>
      </c>
      <c r="P167" s="15">
        <v>8.6E-3</v>
      </c>
      <c r="Q167" s="15">
        <v>-0.24</v>
      </c>
      <c r="R167" s="15">
        <v>-1</v>
      </c>
    </row>
    <row r="168" spans="1:18" x14ac:dyDescent="0.25">
      <c r="A168" s="7">
        <v>201809</v>
      </c>
      <c r="B168" s="7" t="s">
        <v>8</v>
      </c>
      <c r="C168" s="7" t="s">
        <v>9</v>
      </c>
      <c r="D168" s="7" t="s">
        <v>12</v>
      </c>
      <c r="E168" s="7">
        <v>80450</v>
      </c>
      <c r="F168" s="13">
        <v>44</v>
      </c>
      <c r="G168" s="12">
        <v>60</v>
      </c>
      <c r="H168" s="10">
        <f t="shared" si="7"/>
        <v>0.73333333333333328</v>
      </c>
      <c r="I168" s="10">
        <v>0.82516201121965382</v>
      </c>
      <c r="J168" s="11">
        <v>3.6961822217835339E-6</v>
      </c>
      <c r="K168" s="15">
        <v>2.099958062171936E-2</v>
      </c>
      <c r="L168" s="15">
        <v>768.6</v>
      </c>
      <c r="M168" s="15">
        <v>0.15539689362049103</v>
      </c>
      <c r="N168" s="15">
        <f t="shared" si="9"/>
        <v>-0.86757310177558078</v>
      </c>
      <c r="O168" s="15">
        <f t="shared" si="8"/>
        <v>75.053909301757813</v>
      </c>
      <c r="P168" s="15">
        <v>2.0000000000000001E-4</v>
      </c>
      <c r="Q168" s="15">
        <v>-0.24</v>
      </c>
      <c r="R168" s="15">
        <v>-1</v>
      </c>
    </row>
    <row r="169" spans="1:18" x14ac:dyDescent="0.25">
      <c r="A169" s="7">
        <v>201808</v>
      </c>
      <c r="B169" s="7" t="s">
        <v>8</v>
      </c>
      <c r="C169" s="7" t="s">
        <v>9</v>
      </c>
      <c r="D169" s="7" t="s">
        <v>12</v>
      </c>
      <c r="E169" s="7">
        <v>80450</v>
      </c>
      <c r="F169" s="13">
        <v>30294</v>
      </c>
      <c r="G169" s="9">
        <v>36600</v>
      </c>
      <c r="H169" s="10">
        <f t="shared" si="7"/>
        <v>0.8277049180327869</v>
      </c>
      <c r="I169" s="10">
        <v>0.89076896561192165</v>
      </c>
      <c r="J169" s="11">
        <v>2.250094589537855E-3</v>
      </c>
      <c r="K169" s="15">
        <v>0.24185962975025177</v>
      </c>
      <c r="L169" s="15">
        <v>768.6</v>
      </c>
      <c r="M169" s="15">
        <v>0.14780311286449432</v>
      </c>
      <c r="N169" s="15">
        <f t="shared" si="9"/>
        <v>4.2930244020189479</v>
      </c>
      <c r="O169" s="15">
        <f t="shared" si="8"/>
        <v>112.74168395996094</v>
      </c>
      <c r="P169" s="15">
        <v>0.15679999999999999</v>
      </c>
      <c r="Q169" s="15">
        <v>-0.24</v>
      </c>
      <c r="R169" s="15">
        <v>-1</v>
      </c>
    </row>
    <row r="170" spans="1:18" x14ac:dyDescent="0.25">
      <c r="A170" s="7">
        <v>201806</v>
      </c>
      <c r="B170" s="7" t="s">
        <v>8</v>
      </c>
      <c r="C170" s="7" t="s">
        <v>9</v>
      </c>
      <c r="D170" s="7" t="s">
        <v>12</v>
      </c>
      <c r="E170" s="7">
        <v>80450</v>
      </c>
      <c r="F170" s="13">
        <v>10076</v>
      </c>
      <c r="G170" s="9">
        <v>7065</v>
      </c>
      <c r="H170" s="10">
        <f t="shared" si="7"/>
        <v>1.4261854210898797</v>
      </c>
      <c r="I170" s="10">
        <v>1.142489204813848</v>
      </c>
      <c r="J170" s="11">
        <v>6.0915533382419626E-4</v>
      </c>
      <c r="K170" s="15">
        <v>8.6737431585788727E-2</v>
      </c>
      <c r="L170" s="15">
        <v>768.6</v>
      </c>
      <c r="M170" s="15">
        <v>0.16108380258083344</v>
      </c>
      <c r="N170" s="15">
        <f t="shared" si="9"/>
        <v>0.66845204595298857</v>
      </c>
      <c r="O170" s="15">
        <f t="shared" si="8"/>
        <v>103.96858978271484</v>
      </c>
      <c r="P170" s="15">
        <v>0.1328</v>
      </c>
      <c r="Q170" s="15">
        <v>-0.24</v>
      </c>
      <c r="R170" s="15">
        <v>-1</v>
      </c>
    </row>
    <row r="171" spans="1:18" x14ac:dyDescent="0.25">
      <c r="A171" s="7">
        <v>201805</v>
      </c>
      <c r="B171" s="7" t="s">
        <v>8</v>
      </c>
      <c r="C171" s="7" t="s">
        <v>9</v>
      </c>
      <c r="D171" s="7" t="s">
        <v>12</v>
      </c>
      <c r="E171" s="7">
        <v>80450</v>
      </c>
      <c r="F171" s="13">
        <v>3649</v>
      </c>
      <c r="G171" s="9">
        <v>2150</v>
      </c>
      <c r="H171" s="10">
        <f t="shared" si="7"/>
        <v>1.6972093023255814</v>
      </c>
      <c r="I171" s="10">
        <v>1.3560176342663179</v>
      </c>
      <c r="J171" s="11">
        <v>1.2476532988599443E-4</v>
      </c>
      <c r="K171" s="15">
        <v>6.7232541739940643E-2</v>
      </c>
      <c r="L171" s="15">
        <v>768.6</v>
      </c>
      <c r="M171" s="15">
        <v>0.28573828935623169</v>
      </c>
      <c r="N171" s="15">
        <f t="shared" si="9"/>
        <v>0.21270241514632215</v>
      </c>
      <c r="O171" s="15">
        <f t="shared" si="8"/>
        <v>125.66661834716797</v>
      </c>
      <c r="P171" s="15">
        <v>5.0299999999999997E-2</v>
      </c>
      <c r="Q171" s="15">
        <v>-0.24</v>
      </c>
      <c r="R171" s="15">
        <v>-1</v>
      </c>
    </row>
    <row r="172" spans="1:18" x14ac:dyDescent="0.25">
      <c r="A172" s="7">
        <v>201804</v>
      </c>
      <c r="B172" s="7" t="s">
        <v>8</v>
      </c>
      <c r="C172" s="7" t="s">
        <v>9</v>
      </c>
      <c r="D172" s="7" t="s">
        <v>12</v>
      </c>
      <c r="E172" s="7">
        <v>80450</v>
      </c>
      <c r="F172" s="13">
        <v>4231</v>
      </c>
      <c r="G172" s="9">
        <v>2550</v>
      </c>
      <c r="H172" s="10">
        <f t="shared" si="7"/>
        <v>1.6592156862745098</v>
      </c>
      <c r="I172" s="10">
        <v>1.419240975513705</v>
      </c>
      <c r="J172" s="11">
        <v>2.1330175129761927E-4</v>
      </c>
      <c r="K172" s="15">
        <v>2.159547433257103E-2</v>
      </c>
      <c r="L172" s="15">
        <v>768.6</v>
      </c>
      <c r="M172" s="15">
        <v>0.14684921503067017</v>
      </c>
      <c r="N172" s="15">
        <f t="shared" si="9"/>
        <v>-0.85364949898330589</v>
      </c>
      <c r="O172" s="15">
        <f t="shared" si="8"/>
        <v>123.26347351074219</v>
      </c>
      <c r="P172" s="15">
        <v>3.2399999999999998E-2</v>
      </c>
      <c r="Q172" s="15">
        <v>-0.24</v>
      </c>
      <c r="R172" s="15">
        <v>-1</v>
      </c>
    </row>
    <row r="173" spans="1:18" x14ac:dyDescent="0.25">
      <c r="A173" s="7">
        <v>201803</v>
      </c>
      <c r="B173" s="7" t="s">
        <v>8</v>
      </c>
      <c r="C173" s="7" t="s">
        <v>9</v>
      </c>
      <c r="D173" s="7" t="s">
        <v>12</v>
      </c>
      <c r="E173" s="7">
        <v>80450</v>
      </c>
      <c r="F173" s="13">
        <v>4256</v>
      </c>
      <c r="G173" s="9">
        <v>13051</v>
      </c>
      <c r="H173" s="10">
        <f t="shared" si="7"/>
        <v>0.32610527928894339</v>
      </c>
      <c r="I173" s="10">
        <v>1.1721498370579335</v>
      </c>
      <c r="J173" s="11">
        <v>2.8096693291188295E-4</v>
      </c>
      <c r="K173" s="15">
        <v>4.4081110507249832E-2</v>
      </c>
      <c r="L173" s="15">
        <v>768.6</v>
      </c>
      <c r="M173" s="15">
        <v>0.1322433203458786</v>
      </c>
      <c r="N173" s="15">
        <f t="shared" si="9"/>
        <v>-0.32825199784108372</v>
      </c>
      <c r="O173" s="15">
        <f t="shared" si="8"/>
        <v>111.96229553222656</v>
      </c>
      <c r="P173" s="15">
        <v>4.0899999999999999E-2</v>
      </c>
      <c r="Q173" s="15">
        <v>-0.24</v>
      </c>
      <c r="R173" s="15">
        <v>-1</v>
      </c>
    </row>
    <row r="174" spans="1:18" x14ac:dyDescent="0.25">
      <c r="A174" s="7">
        <v>201802</v>
      </c>
      <c r="B174" s="7" t="s">
        <v>8</v>
      </c>
      <c r="C174" s="7" t="s">
        <v>9</v>
      </c>
      <c r="D174" s="7" t="s">
        <v>12</v>
      </c>
      <c r="E174" s="7">
        <v>80450</v>
      </c>
      <c r="F174" s="13">
        <v>31902</v>
      </c>
      <c r="G174" s="9">
        <v>17840</v>
      </c>
      <c r="H174" s="10">
        <f t="shared" si="7"/>
        <v>1.7882286995515695</v>
      </c>
      <c r="I174" s="10">
        <v>1.0016018287676611</v>
      </c>
      <c r="J174" s="11">
        <v>4.1888190752376346E-3</v>
      </c>
      <c r="K174" s="15">
        <v>4.6498649753630161E-3</v>
      </c>
      <c r="L174" s="15">
        <v>768.6</v>
      </c>
      <c r="M174" s="15">
        <v>7.9047709703445435E-2</v>
      </c>
      <c r="N174" s="15">
        <f t="shared" si="9"/>
        <v>-1.2495991951558016</v>
      </c>
      <c r="O174" s="15">
        <f t="shared" si="8"/>
        <v>64.491371154785156</v>
      </c>
      <c r="P174" s="15">
        <v>0.56789999999999996</v>
      </c>
      <c r="Q174" s="15">
        <v>-0.24</v>
      </c>
      <c r="R174" s="15">
        <v>-1</v>
      </c>
    </row>
    <row r="175" spans="1:18" x14ac:dyDescent="0.25">
      <c r="A175" s="7">
        <v>201801</v>
      </c>
      <c r="B175" s="7" t="s">
        <v>8</v>
      </c>
      <c r="C175" s="7" t="s">
        <v>9</v>
      </c>
      <c r="D175" s="7" t="s">
        <v>12</v>
      </c>
      <c r="E175" s="7">
        <v>80450</v>
      </c>
      <c r="F175" s="13">
        <v>7005</v>
      </c>
      <c r="G175" s="9">
        <v>5340</v>
      </c>
      <c r="H175" s="10">
        <f t="shared" si="7"/>
        <v>1.3117977528089888</v>
      </c>
      <c r="I175" s="10">
        <v>0.8812220369951137</v>
      </c>
      <c r="J175" s="11">
        <v>7.6286032218079818E-4</v>
      </c>
      <c r="K175" s="15">
        <v>3.9045553654432297E-2</v>
      </c>
      <c r="L175" s="15">
        <v>768.6</v>
      </c>
      <c r="M175" s="15">
        <v>0.17787419259548187</v>
      </c>
      <c r="N175" s="15">
        <f t="shared" si="9"/>
        <v>-0.44591239965391871</v>
      </c>
      <c r="O175" s="15">
        <f t="shared" si="8"/>
        <v>92.426788330078125</v>
      </c>
      <c r="P175" s="15">
        <v>5.2200000000000003E-2</v>
      </c>
      <c r="Q175" s="15">
        <v>-0.24</v>
      </c>
      <c r="R175" s="15">
        <v>-1</v>
      </c>
    </row>
    <row r="176" spans="1:18" x14ac:dyDescent="0.25">
      <c r="A176" s="7">
        <v>201712</v>
      </c>
      <c r="B176" s="7" t="s">
        <v>8</v>
      </c>
      <c r="C176" s="7" t="s">
        <v>9</v>
      </c>
      <c r="D176" s="7" t="s">
        <v>12</v>
      </c>
      <c r="E176" s="7">
        <v>80450</v>
      </c>
      <c r="F176" s="13">
        <v>1657</v>
      </c>
      <c r="G176" s="12">
        <v>970</v>
      </c>
      <c r="H176" s="10">
        <f t="shared" si="7"/>
        <v>1.7082474226804123</v>
      </c>
      <c r="I176" s="10">
        <v>0.92317030014516976</v>
      </c>
      <c r="J176" s="11">
        <v>1.7407003582355034E-4</v>
      </c>
      <c r="K176" s="15">
        <v>1.8276523798704147E-2</v>
      </c>
      <c r="L176" s="15">
        <v>809.6</v>
      </c>
      <c r="M176" s="15">
        <v>6.3967831432819366E-2</v>
      </c>
      <c r="N176" s="15">
        <f t="shared" si="9"/>
        <v>-0.93119982059137196</v>
      </c>
      <c r="O176" s="15">
        <f t="shared" si="8"/>
        <v>82.718254089355469</v>
      </c>
      <c r="P176" s="15">
        <v>7.1999999999999998E-3</v>
      </c>
      <c r="Q176" s="15">
        <v>-0.28000000000000003</v>
      </c>
      <c r="R176" s="15">
        <v>-0.77</v>
      </c>
    </row>
    <row r="177" spans="1:18" x14ac:dyDescent="0.25">
      <c r="A177" s="7">
        <v>201711</v>
      </c>
      <c r="B177" s="7" t="s">
        <v>8</v>
      </c>
      <c r="C177" s="7" t="s">
        <v>9</v>
      </c>
      <c r="D177" s="7" t="s">
        <v>12</v>
      </c>
      <c r="E177" s="7">
        <v>80450</v>
      </c>
      <c r="F177" s="13">
        <v>20358</v>
      </c>
      <c r="G177" s="9">
        <v>11100</v>
      </c>
      <c r="H177" s="10">
        <f t="shared" si="7"/>
        <v>1.834054054054054</v>
      </c>
      <c r="I177" s="10">
        <v>0.87469271858987019</v>
      </c>
      <c r="J177" s="11">
        <v>1.7254582215439876E-3</v>
      </c>
      <c r="K177" s="15">
        <v>7.1536779403686523E-2</v>
      </c>
      <c r="L177" s="15">
        <v>809.6</v>
      </c>
      <c r="M177" s="15">
        <v>0.15569768846035004</v>
      </c>
      <c r="N177" s="15">
        <f t="shared" si="9"/>
        <v>0.31327487372772256</v>
      </c>
      <c r="O177" s="15">
        <f t="shared" si="8"/>
        <v>92.596015930175781</v>
      </c>
      <c r="P177" s="15">
        <v>7.2800000000000004E-2</v>
      </c>
      <c r="Q177" s="15">
        <v>-0.28000000000000003</v>
      </c>
      <c r="R177" s="15">
        <v>-0.77</v>
      </c>
    </row>
    <row r="178" spans="1:18" x14ac:dyDescent="0.25">
      <c r="A178" s="7">
        <v>201710</v>
      </c>
      <c r="B178" s="7" t="s">
        <v>8</v>
      </c>
      <c r="C178" s="7" t="s">
        <v>9</v>
      </c>
      <c r="D178" s="7" t="s">
        <v>12</v>
      </c>
      <c r="E178" s="7">
        <v>80450</v>
      </c>
      <c r="F178" s="13">
        <v>7784</v>
      </c>
      <c r="G178" s="9">
        <v>4712</v>
      </c>
      <c r="H178" s="10">
        <f t="shared" si="7"/>
        <v>1.6519524617996604</v>
      </c>
      <c r="I178" s="10">
        <v>0.91454321657353166</v>
      </c>
      <c r="J178" s="11">
        <v>8.1257215309803047E-4</v>
      </c>
      <c r="K178" s="15">
        <v>3.6523010581731796E-2</v>
      </c>
      <c r="L178" s="15">
        <v>809.6</v>
      </c>
      <c r="M178" s="15">
        <v>0.12174336612224579</v>
      </c>
      <c r="N178" s="15">
        <f t="shared" si="9"/>
        <v>-0.50485393088855357</v>
      </c>
      <c r="O178" s="15">
        <f t="shared" si="8"/>
        <v>91.461570739746094</v>
      </c>
      <c r="P178" s="15">
        <v>0.42899999999999999</v>
      </c>
      <c r="Q178" s="15">
        <v>-0.28000000000000003</v>
      </c>
      <c r="R178" s="15">
        <v>-0.77</v>
      </c>
    </row>
    <row r="179" spans="1:18" x14ac:dyDescent="0.25">
      <c r="A179" s="7">
        <v>201709</v>
      </c>
      <c r="B179" s="7" t="s">
        <v>8</v>
      </c>
      <c r="C179" s="7" t="s">
        <v>9</v>
      </c>
      <c r="D179" s="7" t="s">
        <v>12</v>
      </c>
      <c r="E179" s="7">
        <v>80450</v>
      </c>
      <c r="F179" s="13">
        <v>1067</v>
      </c>
      <c r="G179" s="12">
        <v>588</v>
      </c>
      <c r="H179" s="10">
        <f t="shared" si="7"/>
        <v>1.814625850340136</v>
      </c>
      <c r="I179" s="10">
        <v>0.92498536861298142</v>
      </c>
      <c r="J179" s="11">
        <v>7.6103120798547841E-5</v>
      </c>
      <c r="K179" s="15">
        <v>8.9878663420677185E-2</v>
      </c>
      <c r="L179" s="15">
        <v>809.6</v>
      </c>
      <c r="M179" s="15">
        <v>0.28461575508117676</v>
      </c>
      <c r="N179" s="15">
        <f t="shared" si="9"/>
        <v>0.74184980724992322</v>
      </c>
      <c r="O179" s="15">
        <f t="shared" si="8"/>
        <v>115.53444671630859</v>
      </c>
      <c r="P179" s="15">
        <v>3.0499999999999999E-2</v>
      </c>
      <c r="Q179" s="15">
        <v>-0.28000000000000003</v>
      </c>
      <c r="R179" s="15">
        <v>-0.77</v>
      </c>
    </row>
    <row r="180" spans="1:18" x14ac:dyDescent="0.25">
      <c r="A180" s="7">
        <v>201708</v>
      </c>
      <c r="B180" s="7" t="s">
        <v>8</v>
      </c>
      <c r="C180" s="7" t="s">
        <v>9</v>
      </c>
      <c r="D180" s="7" t="s">
        <v>12</v>
      </c>
      <c r="E180" s="7">
        <v>80450</v>
      </c>
      <c r="F180" s="13">
        <v>216</v>
      </c>
      <c r="G180" s="12">
        <v>120</v>
      </c>
      <c r="H180" s="10">
        <f t="shared" si="7"/>
        <v>1.8</v>
      </c>
      <c r="I180" s="10">
        <v>1.0499194233357909</v>
      </c>
      <c r="J180" s="11">
        <v>1.8360794196152955E-5</v>
      </c>
      <c r="K180" s="15">
        <v>3.7385173141956329E-2</v>
      </c>
      <c r="L180" s="15">
        <v>809.6</v>
      </c>
      <c r="M180" s="15">
        <v>0.18158513307571411</v>
      </c>
      <c r="N180" s="15">
        <f t="shared" si="9"/>
        <v>-0.48470871234986479</v>
      </c>
      <c r="O180" s="15">
        <f t="shared" si="8"/>
        <v>138.5316162109375</v>
      </c>
      <c r="P180" s="15">
        <v>1.9400000000000001E-2</v>
      </c>
      <c r="Q180" s="15">
        <v>-0.28000000000000003</v>
      </c>
      <c r="R180" s="15">
        <v>-0.77</v>
      </c>
    </row>
    <row r="181" spans="1:18" x14ac:dyDescent="0.25">
      <c r="A181" s="7">
        <v>201707</v>
      </c>
      <c r="B181" s="7" t="s">
        <v>8</v>
      </c>
      <c r="C181" s="7" t="s">
        <v>9</v>
      </c>
      <c r="D181" s="7" t="s">
        <v>12</v>
      </c>
      <c r="E181" s="7">
        <v>80450</v>
      </c>
      <c r="F181" s="13">
        <v>1496</v>
      </c>
      <c r="G181" s="9">
        <v>1000</v>
      </c>
      <c r="H181" s="10">
        <f t="shared" si="7"/>
        <v>1.496</v>
      </c>
      <c r="I181" s="10">
        <v>1.0374809840887353</v>
      </c>
      <c r="J181" s="11">
        <v>1.1407206228029595E-4</v>
      </c>
      <c r="K181" s="15">
        <v>4.2388595640659332E-2</v>
      </c>
      <c r="L181" s="15">
        <v>809.6</v>
      </c>
      <c r="M181" s="15">
        <v>0.14306151866912842</v>
      </c>
      <c r="N181" s="15">
        <f t="shared" si="9"/>
        <v>-0.36779915917753242</v>
      </c>
      <c r="O181" s="15">
        <f t="shared" si="8"/>
        <v>102.81346130371094</v>
      </c>
      <c r="P181" s="15">
        <v>1.21E-2</v>
      </c>
      <c r="Q181" s="15">
        <v>-0.28000000000000003</v>
      </c>
      <c r="R181" s="15">
        <v>-0.77</v>
      </c>
    </row>
    <row r="182" spans="1:18" x14ac:dyDescent="0.25">
      <c r="A182" s="7">
        <v>201706</v>
      </c>
      <c r="B182" s="7" t="s">
        <v>8</v>
      </c>
      <c r="C182" s="7" t="s">
        <v>9</v>
      </c>
      <c r="D182" s="7" t="s">
        <v>12</v>
      </c>
      <c r="E182" s="7">
        <v>80450</v>
      </c>
      <c r="F182" s="13">
        <v>31838</v>
      </c>
      <c r="G182" s="9">
        <v>32960</v>
      </c>
      <c r="H182" s="10">
        <f t="shared" si="7"/>
        <v>0.96595873786407771</v>
      </c>
      <c r="I182" s="10">
        <v>1.1674273421598591</v>
      </c>
      <c r="J182" s="11">
        <v>1.5608570506341673E-3</v>
      </c>
      <c r="K182" s="15">
        <v>3.6119710654020309E-2</v>
      </c>
      <c r="L182" s="15">
        <v>809.6</v>
      </c>
      <c r="M182" s="15">
        <v>0.2270381897687912</v>
      </c>
      <c r="N182" s="15">
        <f t="shared" si="9"/>
        <v>-0.51427740339270567</v>
      </c>
      <c r="O182" s="15">
        <f t="shared" si="8"/>
        <v>126.78901672363281</v>
      </c>
      <c r="P182" s="15">
        <v>0.91420000000000001</v>
      </c>
      <c r="Q182" s="15">
        <v>-0.28000000000000003</v>
      </c>
      <c r="R182" s="15">
        <v>-0.77</v>
      </c>
    </row>
    <row r="183" spans="1:18" x14ac:dyDescent="0.25">
      <c r="A183" s="7">
        <v>201705</v>
      </c>
      <c r="B183" s="7" t="s">
        <v>8</v>
      </c>
      <c r="C183" s="7" t="s">
        <v>9</v>
      </c>
      <c r="D183" s="7" t="s">
        <v>12</v>
      </c>
      <c r="E183" s="7">
        <v>80450</v>
      </c>
      <c r="F183" s="13">
        <v>7644</v>
      </c>
      <c r="G183" s="9">
        <v>7619</v>
      </c>
      <c r="H183" s="10">
        <f t="shared" si="7"/>
        <v>1.0032812705079406</v>
      </c>
      <c r="I183" s="10">
        <v>1.231242075344452</v>
      </c>
      <c r="J183" s="11">
        <v>2.8030710569712091E-4</v>
      </c>
      <c r="K183" s="15">
        <v>1.0154346004128456E-2</v>
      </c>
      <c r="L183" s="15">
        <v>809.6</v>
      </c>
      <c r="M183" s="15">
        <v>9.1389112174510956E-2</v>
      </c>
      <c r="N183" s="15">
        <f t="shared" si="9"/>
        <v>-1.1209819501229537</v>
      </c>
      <c r="O183" s="15">
        <f t="shared" si="8"/>
        <v>102.57996368408203</v>
      </c>
      <c r="P183" s="15">
        <v>0.91720000000000002</v>
      </c>
      <c r="Q183" s="15">
        <v>-0.28000000000000003</v>
      </c>
      <c r="R183" s="15">
        <v>-0.77</v>
      </c>
    </row>
    <row r="184" spans="1:18" x14ac:dyDescent="0.25">
      <c r="A184" s="7">
        <v>201704</v>
      </c>
      <c r="B184" s="7" t="s">
        <v>8</v>
      </c>
      <c r="C184" s="7" t="s">
        <v>9</v>
      </c>
      <c r="D184" s="7" t="s">
        <v>12</v>
      </c>
      <c r="E184" s="7">
        <v>80450</v>
      </c>
      <c r="F184" s="13">
        <v>31591</v>
      </c>
      <c r="G184" s="9">
        <v>55878</v>
      </c>
      <c r="H184" s="10">
        <f t="shared" si="7"/>
        <v>0.56535666988797018</v>
      </c>
      <c r="I184" s="10">
        <v>1.2274468399878697</v>
      </c>
      <c r="J184" s="11">
        <v>1.448319839414426E-3</v>
      </c>
      <c r="K184" s="15">
        <v>4.2030051350593567E-2</v>
      </c>
      <c r="L184" s="15">
        <v>809.6</v>
      </c>
      <c r="M184" s="15">
        <v>0.14710518717765808</v>
      </c>
      <c r="N184" s="15">
        <f t="shared" si="9"/>
        <v>-0.37617687518191656</v>
      </c>
      <c r="O184" s="15">
        <f t="shared" si="8"/>
        <v>119.45992279052734</v>
      </c>
      <c r="P184" s="15">
        <v>0.76519999999999999</v>
      </c>
      <c r="Q184" s="15">
        <v>-0.28000000000000003</v>
      </c>
      <c r="R184" s="15">
        <v>-0.77</v>
      </c>
    </row>
    <row r="185" spans="1:18" x14ac:dyDescent="0.25">
      <c r="A185" s="7">
        <v>201703</v>
      </c>
      <c r="B185" s="7" t="s">
        <v>8</v>
      </c>
      <c r="C185" s="7" t="s">
        <v>9</v>
      </c>
      <c r="D185" s="7" t="s">
        <v>12</v>
      </c>
      <c r="E185" s="7">
        <v>80450</v>
      </c>
      <c r="F185" s="13">
        <v>4292</v>
      </c>
      <c r="G185" s="9">
        <v>4279</v>
      </c>
      <c r="H185" s="10">
        <f t="shared" si="7"/>
        <v>1.0030380930123861</v>
      </c>
      <c r="I185" s="10">
        <v>1.1145195072428329</v>
      </c>
      <c r="J185" s="11">
        <v>2.0624039615070464E-4</v>
      </c>
      <c r="K185" s="15">
        <v>5.2874445915222168E-2</v>
      </c>
      <c r="L185" s="15">
        <v>809.6</v>
      </c>
      <c r="M185" s="15">
        <v>0.14420303702354431</v>
      </c>
      <c r="N185" s="15">
        <f t="shared" si="9"/>
        <v>-0.12278765544205958</v>
      </c>
      <c r="O185" s="15">
        <f t="shared" si="8"/>
        <v>96.635879516601563</v>
      </c>
      <c r="P185" s="15">
        <v>0.24759999999999999</v>
      </c>
      <c r="Q185" s="15">
        <v>-0.28000000000000003</v>
      </c>
      <c r="R185" s="15">
        <v>-0.77</v>
      </c>
    </row>
    <row r="186" spans="1:18" x14ac:dyDescent="0.25">
      <c r="A186" s="7">
        <v>201702</v>
      </c>
      <c r="B186" s="7" t="s">
        <v>8</v>
      </c>
      <c r="C186" s="7" t="s">
        <v>9</v>
      </c>
      <c r="D186" s="7" t="s">
        <v>12</v>
      </c>
      <c r="E186" s="7">
        <v>80450</v>
      </c>
      <c r="F186" s="13">
        <v>11883</v>
      </c>
      <c r="G186" s="9">
        <v>22900</v>
      </c>
      <c r="H186" s="10">
        <f t="shared" si="7"/>
        <v>0.51890829694323148</v>
      </c>
      <c r="I186" s="10">
        <v>0.99736909518903172</v>
      </c>
      <c r="J186" s="11">
        <v>1.1401269020824515E-3</v>
      </c>
      <c r="K186" s="15">
        <v>3.8550499826669693E-2</v>
      </c>
      <c r="L186" s="15">
        <v>809.6</v>
      </c>
      <c r="M186" s="15">
        <v>0.16521643102169037</v>
      </c>
      <c r="N186" s="15">
        <f t="shared" si="9"/>
        <v>-0.45747978614086471</v>
      </c>
      <c r="O186" s="15">
        <f t="shared" si="8"/>
        <v>114.20635986328125</v>
      </c>
      <c r="P186" s="15">
        <v>0.3765</v>
      </c>
      <c r="Q186" s="15">
        <v>-0.28000000000000003</v>
      </c>
      <c r="R186" s="15">
        <v>-0.77</v>
      </c>
    </row>
    <row r="187" spans="1:18" x14ac:dyDescent="0.25">
      <c r="A187" s="7">
        <v>201701</v>
      </c>
      <c r="B187" s="7" t="s">
        <v>8</v>
      </c>
      <c r="C187" s="7" t="s">
        <v>9</v>
      </c>
      <c r="D187" s="7" t="s">
        <v>12</v>
      </c>
      <c r="E187" s="7">
        <v>80450</v>
      </c>
      <c r="F187" s="13">
        <v>1607</v>
      </c>
      <c r="G187" s="12">
        <v>722</v>
      </c>
      <c r="H187" s="10">
        <f t="shared" si="7"/>
        <v>2.2257617728531858</v>
      </c>
      <c r="I187" s="10">
        <v>0.94221639342396024</v>
      </c>
      <c r="J187" s="11">
        <v>1.3483621595039436E-4</v>
      </c>
      <c r="K187" s="15">
        <v>5.0648298114538193E-2</v>
      </c>
      <c r="L187" s="15">
        <v>809.6</v>
      </c>
      <c r="M187" s="15">
        <v>0.18233387172222137</v>
      </c>
      <c r="N187" s="15">
        <f t="shared" si="9"/>
        <v>-0.17480363944920638</v>
      </c>
      <c r="O187" s="15">
        <f t="shared" si="8"/>
        <v>105.20123291015625</v>
      </c>
      <c r="P187" s="15">
        <v>9.4000000000000004E-3</v>
      </c>
      <c r="Q187" s="15">
        <v>-0.28000000000000003</v>
      </c>
      <c r="R187" s="15">
        <v>-0.77</v>
      </c>
    </row>
    <row r="188" spans="1:18" x14ac:dyDescent="0.25">
      <c r="A188" s="7">
        <v>201612</v>
      </c>
      <c r="B188" s="7" t="s">
        <v>8</v>
      </c>
      <c r="C188" s="7" t="s">
        <v>9</v>
      </c>
      <c r="D188" s="7" t="s">
        <v>12</v>
      </c>
      <c r="E188" s="7">
        <v>80450</v>
      </c>
      <c r="F188" s="13">
        <v>23430</v>
      </c>
      <c r="G188" s="9">
        <v>23832</v>
      </c>
      <c r="H188" s="10">
        <f t="shared" si="7"/>
        <v>0.98313192346424971</v>
      </c>
      <c r="I188" s="10">
        <v>0.82419783350388742</v>
      </c>
      <c r="J188" s="11">
        <v>1.7198171899655164E-3</v>
      </c>
      <c r="K188" s="15">
        <v>3.2204389572143555E-2</v>
      </c>
      <c r="L188" s="15">
        <v>748.3</v>
      </c>
      <c r="M188" s="15">
        <v>0.16102194786071777</v>
      </c>
      <c r="N188" s="15">
        <f t="shared" si="9"/>
        <v>-0.60576246953035051</v>
      </c>
      <c r="O188" s="15">
        <f t="shared" si="8"/>
        <v>102.18046569824219</v>
      </c>
      <c r="P188" s="15">
        <v>0.2356</v>
      </c>
      <c r="Q188" s="15">
        <v>-0.15</v>
      </c>
      <c r="R188" s="15">
        <v>-0.96</v>
      </c>
    </row>
    <row r="189" spans="1:18" x14ac:dyDescent="0.25">
      <c r="A189" s="7">
        <v>201611</v>
      </c>
      <c r="B189" s="7" t="s">
        <v>8</v>
      </c>
      <c r="C189" s="7" t="s">
        <v>9</v>
      </c>
      <c r="D189" s="7" t="s">
        <v>12</v>
      </c>
      <c r="E189" s="7">
        <v>80450</v>
      </c>
      <c r="F189" s="13">
        <v>60255</v>
      </c>
      <c r="G189" s="9">
        <v>73510</v>
      </c>
      <c r="H189" s="10">
        <f t="shared" si="7"/>
        <v>0.81968439668072368</v>
      </c>
      <c r="I189" s="10">
        <v>0.89659511132252079</v>
      </c>
      <c r="J189" s="11">
        <v>5.3154570013888734E-3</v>
      </c>
      <c r="K189" s="15">
        <v>3.076765313744545E-2</v>
      </c>
      <c r="L189" s="15">
        <v>748.3</v>
      </c>
      <c r="M189" s="15">
        <v>0.1230706125497818</v>
      </c>
      <c r="N189" s="15">
        <f t="shared" si="9"/>
        <v>-0.63933313334107333</v>
      </c>
      <c r="O189" s="15">
        <f t="shared" si="8"/>
        <v>82.918754577636719</v>
      </c>
      <c r="P189" s="15">
        <v>0.33829999999999999</v>
      </c>
      <c r="Q189" s="15">
        <v>-0.15</v>
      </c>
      <c r="R189" s="15">
        <v>-0.96</v>
      </c>
    </row>
    <row r="190" spans="1:18" x14ac:dyDescent="0.25">
      <c r="A190" s="7">
        <v>201610</v>
      </c>
      <c r="B190" s="7" t="s">
        <v>8</v>
      </c>
      <c r="C190" s="7" t="s">
        <v>9</v>
      </c>
      <c r="D190" s="7" t="s">
        <v>12</v>
      </c>
      <c r="E190" s="7">
        <v>80450</v>
      </c>
      <c r="F190" s="13">
        <v>3518</v>
      </c>
      <c r="G190" s="9">
        <v>1783</v>
      </c>
      <c r="H190" s="10">
        <f t="shared" si="7"/>
        <v>1.9730790802019069</v>
      </c>
      <c r="I190" s="10">
        <v>0.95</v>
      </c>
      <c r="J190" s="11">
        <v>2.408181409578812E-4</v>
      </c>
      <c r="K190" s="15">
        <v>2.9449298977851868E-2</v>
      </c>
      <c r="L190" s="15">
        <v>748.3</v>
      </c>
      <c r="M190" s="15">
        <v>0.16687935590744019</v>
      </c>
      <c r="N190" s="15">
        <f t="shared" si="9"/>
        <v>-0.67013768677643182</v>
      </c>
      <c r="O190" s="15">
        <f t="shared" si="8"/>
        <v>85.747787475585938</v>
      </c>
      <c r="P190" s="15">
        <v>0.9617</v>
      </c>
      <c r="Q190" s="15">
        <v>-0.15</v>
      </c>
      <c r="R190" s="15">
        <v>-0.96</v>
      </c>
    </row>
    <row r="191" spans="1:18" x14ac:dyDescent="0.25">
      <c r="A191" s="7">
        <v>201609</v>
      </c>
      <c r="B191" s="7" t="s">
        <v>8</v>
      </c>
      <c r="C191" s="7" t="s">
        <v>9</v>
      </c>
      <c r="D191" s="7" t="s">
        <v>12</v>
      </c>
      <c r="E191" s="7">
        <v>80450</v>
      </c>
      <c r="F191" s="13">
        <v>31652</v>
      </c>
      <c r="G191" s="9">
        <v>37329</v>
      </c>
      <c r="H191" s="10">
        <f t="shared" si="7"/>
        <v>0.84791984783948138</v>
      </c>
      <c r="I191" s="10">
        <v>0.98193344868140853</v>
      </c>
      <c r="J191" s="11">
        <v>2.181513622536665E-3</v>
      </c>
      <c r="K191" s="15">
        <v>3.0248034745454788E-2</v>
      </c>
      <c r="L191" s="15">
        <v>748.3</v>
      </c>
      <c r="M191" s="15">
        <v>0.17644686996936798</v>
      </c>
      <c r="N191" s="15">
        <f t="shared" si="9"/>
        <v>-0.65147449338882091</v>
      </c>
      <c r="O191" s="15">
        <f t="shared" si="8"/>
        <v>104.54522705078125</v>
      </c>
      <c r="P191" s="15">
        <v>1</v>
      </c>
      <c r="Q191" s="15">
        <v>-0.15</v>
      </c>
      <c r="R191" s="15">
        <v>-0.96</v>
      </c>
    </row>
    <row r="192" spans="1:18" x14ac:dyDescent="0.25">
      <c r="A192" s="7">
        <v>201608</v>
      </c>
      <c r="B192" s="7" t="s">
        <v>8</v>
      </c>
      <c r="C192" s="7" t="s">
        <v>9</v>
      </c>
      <c r="D192" s="7" t="s">
        <v>12</v>
      </c>
      <c r="E192" s="7">
        <v>80450</v>
      </c>
      <c r="F192" s="13">
        <v>41820</v>
      </c>
      <c r="G192" s="9">
        <v>44420</v>
      </c>
      <c r="H192" s="10">
        <f t="shared" si="7"/>
        <v>0.94146780729401169</v>
      </c>
      <c r="I192" s="10">
        <v>1.0173587455254505</v>
      </c>
      <c r="J192" s="11">
        <v>2.7963409257132175E-3</v>
      </c>
      <c r="K192" s="15">
        <v>3.6179449409246445E-2</v>
      </c>
      <c r="L192" s="15">
        <v>748.3</v>
      </c>
      <c r="M192" s="15">
        <v>0.12921231985092163</v>
      </c>
      <c r="N192" s="15">
        <f t="shared" si="9"/>
        <v>-0.51288155261608848</v>
      </c>
      <c r="O192" s="15">
        <f t="shared" si="8"/>
        <v>98.738487243652344</v>
      </c>
      <c r="P192" s="15">
        <v>1</v>
      </c>
      <c r="Q192" s="15">
        <v>-0.15</v>
      </c>
      <c r="R192" s="15">
        <v>-0.96</v>
      </c>
    </row>
    <row r="193" spans="1:18" x14ac:dyDescent="0.25">
      <c r="A193" s="7">
        <v>201607</v>
      </c>
      <c r="B193" s="7" t="s">
        <v>8</v>
      </c>
      <c r="C193" s="7" t="s">
        <v>9</v>
      </c>
      <c r="D193" s="7" t="s">
        <v>12</v>
      </c>
      <c r="E193" s="7">
        <v>80450</v>
      </c>
      <c r="F193" s="13">
        <v>17238</v>
      </c>
      <c r="G193" s="9">
        <v>10500</v>
      </c>
      <c r="H193" s="10">
        <f t="shared" si="7"/>
        <v>1.6417142857142857</v>
      </c>
      <c r="I193" s="10">
        <v>1.0635519173547554</v>
      </c>
      <c r="J193" s="11">
        <v>1.17135930682275E-3</v>
      </c>
      <c r="K193" s="15">
        <v>2.94652059674263E-2</v>
      </c>
      <c r="L193" s="15">
        <v>748.3</v>
      </c>
      <c r="M193" s="15">
        <v>0.27500858902931213</v>
      </c>
      <c r="N193" s="15">
        <f t="shared" si="9"/>
        <v>-0.66976600538355602</v>
      </c>
      <c r="O193" s="15">
        <f t="shared" si="8"/>
        <v>114.61045074462891</v>
      </c>
      <c r="P193" s="15">
        <v>6.2600000000000003E-2</v>
      </c>
      <c r="Q193" s="15">
        <v>-0.15</v>
      </c>
      <c r="R193" s="15">
        <v>-0.96</v>
      </c>
    </row>
    <row r="194" spans="1:18" x14ac:dyDescent="0.25">
      <c r="A194" s="7">
        <v>201606</v>
      </c>
      <c r="B194" s="7" t="s">
        <v>8</v>
      </c>
      <c r="C194" s="7" t="s">
        <v>9</v>
      </c>
      <c r="D194" s="7" t="s">
        <v>12</v>
      </c>
      <c r="E194" s="7">
        <v>80450</v>
      </c>
      <c r="F194" s="13">
        <v>3721</v>
      </c>
      <c r="G194" s="9">
        <v>10668</v>
      </c>
      <c r="H194" s="10">
        <f t="shared" si="7"/>
        <v>0.34880014998125236</v>
      </c>
      <c r="I194" s="10">
        <v>1.1988154001637565</v>
      </c>
      <c r="J194" s="11">
        <v>1.7744857091190157E-4</v>
      </c>
      <c r="K194" s="15">
        <v>2.8319252654910088E-2</v>
      </c>
      <c r="L194" s="15">
        <v>748.3</v>
      </c>
      <c r="M194" s="15">
        <v>0.10855713486671448</v>
      </c>
      <c r="N194" s="15">
        <f t="shared" si="9"/>
        <v>-0.6965422549921696</v>
      </c>
      <c r="O194" s="15">
        <f t="shared" si="8"/>
        <v>90.168128967285156</v>
      </c>
      <c r="P194" s="15">
        <v>1</v>
      </c>
      <c r="Q194" s="15">
        <v>-0.15</v>
      </c>
      <c r="R194" s="15">
        <v>-0.96</v>
      </c>
    </row>
    <row r="195" spans="1:18" x14ac:dyDescent="0.25">
      <c r="A195" s="7">
        <v>201605</v>
      </c>
      <c r="B195" s="7" t="s">
        <v>8</v>
      </c>
      <c r="C195" s="7" t="s">
        <v>9</v>
      </c>
      <c r="D195" s="7" t="s">
        <v>12</v>
      </c>
      <c r="E195" s="7">
        <v>80450</v>
      </c>
      <c r="F195" s="13">
        <v>8428</v>
      </c>
      <c r="G195" s="9">
        <v>18522</v>
      </c>
      <c r="H195" s="10">
        <f t="shared" ref="H195:H233" si="10">F195/G195</f>
        <v>0.455026455026455</v>
      </c>
      <c r="I195" s="10">
        <v>1.2290629015399883</v>
      </c>
      <c r="J195" s="11">
        <v>2.6616363802364214E-4</v>
      </c>
      <c r="K195" s="15">
        <v>2.276141569018364E-2</v>
      </c>
      <c r="L195" s="15">
        <v>748.3</v>
      </c>
      <c r="M195" s="15">
        <v>8.1941090524196625E-2</v>
      </c>
      <c r="N195" s="15">
        <f t="shared" si="9"/>
        <v>-0.82640621037856243</v>
      </c>
      <c r="O195" s="15">
        <f t="shared" ref="O195:O233" si="11">VLOOKUP(A195,$T$5:$U$158,2,FALSE)</f>
        <v>88.332420349121094</v>
      </c>
      <c r="P195" s="15">
        <v>1</v>
      </c>
      <c r="Q195" s="15">
        <v>-0.15</v>
      </c>
      <c r="R195" s="15">
        <v>-0.96</v>
      </c>
    </row>
    <row r="196" spans="1:18" x14ac:dyDescent="0.25">
      <c r="A196" s="7">
        <v>201604</v>
      </c>
      <c r="B196" s="7" t="s">
        <v>8</v>
      </c>
      <c r="C196" s="7" t="s">
        <v>9</v>
      </c>
      <c r="D196" s="7" t="s">
        <v>12</v>
      </c>
      <c r="E196" s="7">
        <v>80450</v>
      </c>
      <c r="F196" s="13">
        <v>6890</v>
      </c>
      <c r="G196" s="9">
        <v>14819</v>
      </c>
      <c r="H196" s="10">
        <f t="shared" si="10"/>
        <v>0.46494365341790944</v>
      </c>
      <c r="I196" s="10">
        <v>1.1000000000000001</v>
      </c>
      <c r="J196" s="11">
        <v>2.5068072186297183E-4</v>
      </c>
      <c r="K196" s="15">
        <v>1.3942464254796505E-2</v>
      </c>
      <c r="L196" s="15">
        <v>748.3</v>
      </c>
      <c r="M196" s="15">
        <v>0.13477715849876404</v>
      </c>
      <c r="N196" s="15">
        <f t="shared" si="9"/>
        <v>-1.0324690947395918</v>
      </c>
      <c r="O196" s="15">
        <f t="shared" si="11"/>
        <v>85.221450805664063</v>
      </c>
      <c r="P196" s="15">
        <v>0.95760000000000001</v>
      </c>
      <c r="Q196" s="15">
        <v>-0.15</v>
      </c>
      <c r="R196" s="15">
        <v>-0.96</v>
      </c>
    </row>
    <row r="197" spans="1:18" x14ac:dyDescent="0.25">
      <c r="A197" s="7">
        <v>201603</v>
      </c>
      <c r="B197" s="7" t="s">
        <v>8</v>
      </c>
      <c r="C197" s="7" t="s">
        <v>9</v>
      </c>
      <c r="D197" s="7" t="s">
        <v>12</v>
      </c>
      <c r="E197" s="7">
        <v>80450</v>
      </c>
      <c r="F197" s="13">
        <v>60340</v>
      </c>
      <c r="G197" s="9">
        <v>87080</v>
      </c>
      <c r="H197" s="10">
        <f t="shared" si="10"/>
        <v>0.69292604501607713</v>
      </c>
      <c r="I197" s="10">
        <v>1.0282563115420349</v>
      </c>
      <c r="J197" s="11">
        <v>3.1815712258571787E-3</v>
      </c>
      <c r="K197" s="15">
        <v>4.5267302542924881E-2</v>
      </c>
      <c r="L197" s="15">
        <v>748.3</v>
      </c>
      <c r="M197" s="15">
        <v>0.15390883386135101</v>
      </c>
      <c r="N197" s="15">
        <f t="shared" si="9"/>
        <v>-0.30053553358021079</v>
      </c>
      <c r="O197" s="15">
        <f t="shared" si="11"/>
        <v>109.72029113769531</v>
      </c>
      <c r="P197" s="15">
        <v>0.98260000000000003</v>
      </c>
      <c r="Q197" s="15">
        <v>-0.15</v>
      </c>
      <c r="R197" s="15">
        <v>-0.96</v>
      </c>
    </row>
    <row r="198" spans="1:18" x14ac:dyDescent="0.25">
      <c r="A198" s="7">
        <v>201602</v>
      </c>
      <c r="B198" s="7" t="s">
        <v>8</v>
      </c>
      <c r="C198" s="7" t="s">
        <v>9</v>
      </c>
      <c r="D198" s="7" t="s">
        <v>12</v>
      </c>
      <c r="E198" s="7">
        <v>80450</v>
      </c>
      <c r="F198" s="13">
        <v>6278</v>
      </c>
      <c r="G198" s="9">
        <v>22153</v>
      </c>
      <c r="H198" s="10">
        <f t="shared" si="10"/>
        <v>0.28339276847379585</v>
      </c>
      <c r="I198" s="10">
        <v>0.88934902787344261</v>
      </c>
      <c r="J198" s="11">
        <v>6.0838456261481705E-4</v>
      </c>
      <c r="K198" s="15">
        <v>3.9142772555351257E-2</v>
      </c>
      <c r="L198" s="15">
        <v>748.3</v>
      </c>
      <c r="M198" s="15">
        <v>8.3178393542766571E-2</v>
      </c>
      <c r="N198" s="15">
        <f t="shared" si="9"/>
        <v>-0.4436407909162422</v>
      </c>
      <c r="O198" s="15">
        <f t="shared" si="11"/>
        <v>103.74964904785156</v>
      </c>
      <c r="P198" s="15">
        <v>0.87519999999999998</v>
      </c>
      <c r="Q198" s="15">
        <v>-0.15</v>
      </c>
      <c r="R198" s="15">
        <v>-0.96</v>
      </c>
    </row>
    <row r="199" spans="1:18" x14ac:dyDescent="0.25">
      <c r="A199" s="7">
        <v>201601</v>
      </c>
      <c r="B199" s="7" t="s">
        <v>8</v>
      </c>
      <c r="C199" s="7" t="s">
        <v>9</v>
      </c>
      <c r="D199" s="7" t="s">
        <v>12</v>
      </c>
      <c r="E199" s="7">
        <v>80450</v>
      </c>
      <c r="F199" s="13">
        <v>2772</v>
      </c>
      <c r="G199" s="9">
        <v>1326</v>
      </c>
      <c r="H199" s="10">
        <f t="shared" si="10"/>
        <v>2.0904977375565612</v>
      </c>
      <c r="I199" s="10">
        <v>0.86717880066005637</v>
      </c>
      <c r="J199" s="11">
        <v>2.8475465489625974E-4</v>
      </c>
      <c r="K199" s="15">
        <v>6.9521687924861908E-2</v>
      </c>
      <c r="L199" s="15">
        <v>748.3</v>
      </c>
      <c r="M199" s="15">
        <v>0.22246940433979034</v>
      </c>
      <c r="N199" s="15">
        <f t="shared" si="9"/>
        <v>0.26619041414993783</v>
      </c>
      <c r="O199" s="15">
        <f t="shared" si="11"/>
        <v>118.21114349365234</v>
      </c>
      <c r="P199" s="15">
        <v>0.1159</v>
      </c>
      <c r="Q199" s="15">
        <v>-0.15</v>
      </c>
      <c r="R199" s="15">
        <v>-0.96</v>
      </c>
    </row>
    <row r="200" spans="1:18" x14ac:dyDescent="0.25">
      <c r="A200" s="7">
        <v>201512</v>
      </c>
      <c r="B200" s="7" t="s">
        <v>8</v>
      </c>
      <c r="C200" s="7" t="s">
        <v>9</v>
      </c>
      <c r="D200" s="7" t="s">
        <v>12</v>
      </c>
      <c r="E200" s="7">
        <v>80450</v>
      </c>
      <c r="F200" s="13">
        <v>13349</v>
      </c>
      <c r="G200" s="9">
        <v>8320</v>
      </c>
      <c r="H200" s="10">
        <f t="shared" si="10"/>
        <v>1.6044471153846154</v>
      </c>
      <c r="I200" s="10">
        <v>0.94270499045941025</v>
      </c>
      <c r="J200" s="11">
        <v>1.3373367613127879E-3</v>
      </c>
      <c r="K200" s="15">
        <v>6.3938617706298828E-2</v>
      </c>
      <c r="L200" s="15">
        <v>749.3</v>
      </c>
      <c r="M200" s="15">
        <v>0.26559117436408997</v>
      </c>
      <c r="N200" s="15">
        <f t="shared" si="9"/>
        <v>0.135736860657071</v>
      </c>
      <c r="O200" s="15">
        <f t="shared" si="11"/>
        <v>148.23687744140625</v>
      </c>
      <c r="P200" s="15">
        <v>0.1721</v>
      </c>
      <c r="Q200" s="15">
        <v>-0.22</v>
      </c>
      <c r="R200" s="15">
        <v>-0.95</v>
      </c>
    </row>
    <row r="201" spans="1:18" x14ac:dyDescent="0.25">
      <c r="A201" s="7">
        <v>201511</v>
      </c>
      <c r="B201" s="7" t="s">
        <v>8</v>
      </c>
      <c r="C201" s="7" t="s">
        <v>9</v>
      </c>
      <c r="D201" s="7" t="s">
        <v>12</v>
      </c>
      <c r="E201" s="7">
        <v>80450</v>
      </c>
      <c r="F201" s="13">
        <v>61307</v>
      </c>
      <c r="G201" s="9">
        <v>73700</v>
      </c>
      <c r="H201" s="10">
        <f t="shared" si="10"/>
        <v>0.83184531886024426</v>
      </c>
      <c r="I201" s="10">
        <v>0.9326490789017049</v>
      </c>
      <c r="J201" s="11">
        <v>5.1811518540532224E-3</v>
      </c>
      <c r="K201" s="15">
        <v>5.4794520139694214E-2</v>
      </c>
      <c r="L201" s="15">
        <v>749.3</v>
      </c>
      <c r="M201" s="15">
        <v>0.21461187303066254</v>
      </c>
      <c r="N201" s="15">
        <f t="shared" si="9"/>
        <v>-7.7923361111743014E-2</v>
      </c>
      <c r="O201" s="15">
        <f t="shared" si="11"/>
        <v>150.71588134765625</v>
      </c>
      <c r="P201" s="15">
        <v>0.88649999999999995</v>
      </c>
      <c r="Q201" s="15">
        <v>-0.22</v>
      </c>
      <c r="R201" s="15">
        <v>-0.95</v>
      </c>
    </row>
    <row r="202" spans="1:18" x14ac:dyDescent="0.25">
      <c r="A202" s="7">
        <v>201510</v>
      </c>
      <c r="B202" s="7" t="s">
        <v>8</v>
      </c>
      <c r="C202" s="7" t="s">
        <v>9</v>
      </c>
      <c r="D202" s="7" t="s">
        <v>12</v>
      </c>
      <c r="E202" s="7">
        <v>80450</v>
      </c>
      <c r="F202" s="13">
        <v>66500</v>
      </c>
      <c r="G202" s="9">
        <v>75310</v>
      </c>
      <c r="H202" s="10">
        <f t="shared" si="10"/>
        <v>0.88301686363032794</v>
      </c>
      <c r="I202" s="10">
        <v>1.0273919548172994</v>
      </c>
      <c r="J202" s="11">
        <v>4.6457857344058091E-3</v>
      </c>
      <c r="K202" s="15">
        <v>2.4329913780093193E-2</v>
      </c>
      <c r="L202" s="15">
        <v>749.3</v>
      </c>
      <c r="M202" s="15">
        <v>8.5154697299003601E-2</v>
      </c>
      <c r="N202" s="15">
        <f t="shared" si="9"/>
        <v>-0.78975681471179293</v>
      </c>
      <c r="O202" s="15">
        <f t="shared" si="11"/>
        <v>91.931884765625</v>
      </c>
      <c r="P202" s="15">
        <v>0.99509999999999998</v>
      </c>
      <c r="Q202" s="15">
        <v>-0.22</v>
      </c>
      <c r="R202" s="15">
        <v>-0.95</v>
      </c>
    </row>
    <row r="203" spans="1:18" x14ac:dyDescent="0.25">
      <c r="A203" s="7">
        <v>201509</v>
      </c>
      <c r="B203" s="7" t="s">
        <v>8</v>
      </c>
      <c r="C203" s="7" t="s">
        <v>9</v>
      </c>
      <c r="D203" s="7" t="s">
        <v>12</v>
      </c>
      <c r="E203" s="7">
        <v>80450</v>
      </c>
      <c r="F203" s="13">
        <v>38172</v>
      </c>
      <c r="G203" s="9">
        <v>42010</v>
      </c>
      <c r="H203" s="10">
        <f t="shared" si="10"/>
        <v>0.90864079980956913</v>
      </c>
      <c r="I203" s="10">
        <v>0.97348854514032723</v>
      </c>
      <c r="J203" s="11">
        <v>2.3241558039233737E-3</v>
      </c>
      <c r="K203" s="15">
        <v>5.6551244109869003E-2</v>
      </c>
      <c r="L203" s="15">
        <v>749.3</v>
      </c>
      <c r="M203" s="15">
        <v>6.5251432359218597E-2</v>
      </c>
      <c r="N203" s="15">
        <f t="shared" si="9"/>
        <v>-3.6875895211452001E-2</v>
      </c>
      <c r="O203" s="15">
        <f t="shared" si="11"/>
        <v>98.7674560546875</v>
      </c>
      <c r="P203" s="15">
        <v>1</v>
      </c>
      <c r="Q203" s="15">
        <v>-0.22</v>
      </c>
      <c r="R203" s="15">
        <v>-0.95</v>
      </c>
    </row>
    <row r="204" spans="1:18" x14ac:dyDescent="0.25">
      <c r="A204" s="7">
        <v>201507</v>
      </c>
      <c r="B204" s="7" t="s">
        <v>8</v>
      </c>
      <c r="C204" s="7" t="s">
        <v>9</v>
      </c>
      <c r="D204" s="7" t="s">
        <v>12</v>
      </c>
      <c r="E204" s="7">
        <v>80450</v>
      </c>
      <c r="F204" s="13">
        <v>16812</v>
      </c>
      <c r="G204" s="9">
        <v>11096</v>
      </c>
      <c r="H204" s="10">
        <f t="shared" si="10"/>
        <v>1.5151405912040374</v>
      </c>
      <c r="I204" s="10">
        <v>1.0228302177767103</v>
      </c>
      <c r="J204" s="11">
        <v>1.0237554249994717E-3</v>
      </c>
      <c r="K204" s="15">
        <v>5.6279491633176804E-2</v>
      </c>
      <c r="L204" s="15">
        <v>749.3</v>
      </c>
      <c r="M204" s="15">
        <v>0.18615524470806122</v>
      </c>
      <c r="N204" s="15">
        <f t="shared" si="9"/>
        <v>-4.3225640936862028E-2</v>
      </c>
      <c r="O204" s="15">
        <f t="shared" si="11"/>
        <v>106.80866241455078</v>
      </c>
      <c r="P204" s="15">
        <v>0.3926</v>
      </c>
      <c r="Q204" s="15">
        <v>-0.22</v>
      </c>
      <c r="R204" s="15">
        <v>-0.95</v>
      </c>
    </row>
    <row r="205" spans="1:18" x14ac:dyDescent="0.25">
      <c r="A205" s="7">
        <v>201506</v>
      </c>
      <c r="B205" s="7" t="s">
        <v>8</v>
      </c>
      <c r="C205" s="7" t="s">
        <v>9</v>
      </c>
      <c r="D205" s="7" t="s">
        <v>12</v>
      </c>
      <c r="E205" s="7">
        <v>80450</v>
      </c>
      <c r="F205" s="13">
        <v>3286</v>
      </c>
      <c r="G205" s="9">
        <v>4670</v>
      </c>
      <c r="H205" s="10">
        <f t="shared" si="10"/>
        <v>0.70364025695931476</v>
      </c>
      <c r="I205" s="10">
        <v>1.4585258474741469</v>
      </c>
      <c r="J205" s="11">
        <v>2.0285371845496584E-4</v>
      </c>
      <c r="K205" s="15">
        <v>6.9288067519664764E-2</v>
      </c>
      <c r="L205" s="15">
        <v>749.3</v>
      </c>
      <c r="M205" s="15">
        <v>0.10393209755420685</v>
      </c>
      <c r="N205" s="15">
        <f t="shared" si="9"/>
        <v>0.26073165922955738</v>
      </c>
      <c r="O205" s="15">
        <f t="shared" si="11"/>
        <v>85.905967712402344</v>
      </c>
      <c r="P205" s="15">
        <v>7.9000000000000001E-2</v>
      </c>
      <c r="Q205" s="15">
        <v>-0.22</v>
      </c>
      <c r="R205" s="15">
        <v>-0.95</v>
      </c>
    </row>
    <row r="206" spans="1:18" x14ac:dyDescent="0.25">
      <c r="A206" s="7">
        <v>201505</v>
      </c>
      <c r="B206" s="7" t="s">
        <v>8</v>
      </c>
      <c r="C206" s="7" t="s">
        <v>9</v>
      </c>
      <c r="D206" s="7" t="s">
        <v>12</v>
      </c>
      <c r="E206" s="7">
        <v>80450</v>
      </c>
      <c r="F206" s="13">
        <v>9390</v>
      </c>
      <c r="G206" s="9">
        <v>6080</v>
      </c>
      <c r="H206" s="10">
        <f t="shared" si="10"/>
        <v>1.544407894736842</v>
      </c>
      <c r="I206" s="10">
        <v>1.3109946668056627</v>
      </c>
      <c r="J206" s="11">
        <v>3.9758742763347792E-4</v>
      </c>
      <c r="K206" s="15">
        <v>5.1306169480085373E-2</v>
      </c>
      <c r="L206" s="15">
        <v>749.3</v>
      </c>
      <c r="M206" s="15">
        <v>0.10688785463571548</v>
      </c>
      <c r="N206" s="15">
        <f t="shared" si="9"/>
        <v>-0.15943187194187913</v>
      </c>
      <c r="O206" s="15">
        <f t="shared" si="11"/>
        <v>76.2623291015625</v>
      </c>
      <c r="P206" s="15">
        <v>0.99939999999999996</v>
      </c>
      <c r="Q206" s="15">
        <v>-0.22</v>
      </c>
      <c r="R206" s="15">
        <v>-0.95</v>
      </c>
    </row>
    <row r="207" spans="1:18" x14ac:dyDescent="0.25">
      <c r="A207" s="7">
        <v>201504</v>
      </c>
      <c r="B207" s="7" t="s">
        <v>8</v>
      </c>
      <c r="C207" s="7" t="s">
        <v>9</v>
      </c>
      <c r="D207" s="7" t="s">
        <v>12</v>
      </c>
      <c r="E207" s="7">
        <v>80450</v>
      </c>
      <c r="F207" s="13">
        <v>2295</v>
      </c>
      <c r="G207" s="12">
        <v>0</v>
      </c>
      <c r="H207" s="10">
        <v>1.75</v>
      </c>
      <c r="I207" s="10">
        <v>1.75</v>
      </c>
      <c r="J207" s="11">
        <v>1.2139539002196542E-4</v>
      </c>
      <c r="K207" s="15">
        <v>2.9758108779788017E-2</v>
      </c>
      <c r="L207" s="15">
        <v>749.3</v>
      </c>
      <c r="M207" s="15">
        <v>0.18705096840858459</v>
      </c>
      <c r="N207" s="15">
        <f t="shared" si="9"/>
        <v>-0.66292206267733755</v>
      </c>
      <c r="O207" s="15">
        <f t="shared" si="11"/>
        <v>102.19049072265625</v>
      </c>
      <c r="P207" s="15">
        <v>0.99519999999999997</v>
      </c>
      <c r="Q207" s="15">
        <v>-0.22</v>
      </c>
      <c r="R207" s="15">
        <v>-0.95</v>
      </c>
    </row>
    <row r="208" spans="1:18" x14ac:dyDescent="0.25">
      <c r="A208" s="7">
        <v>201503</v>
      </c>
      <c r="B208" s="7" t="s">
        <v>8</v>
      </c>
      <c r="C208" s="7" t="s">
        <v>9</v>
      </c>
      <c r="D208" s="7" t="s">
        <v>12</v>
      </c>
      <c r="E208" s="7">
        <v>80450</v>
      </c>
      <c r="F208" s="13">
        <v>2867</v>
      </c>
      <c r="G208" s="9">
        <v>2000</v>
      </c>
      <c r="H208" s="10">
        <f t="shared" si="10"/>
        <v>1.4335</v>
      </c>
      <c r="I208" s="10">
        <v>0.9534029594348209</v>
      </c>
      <c r="J208" s="11">
        <v>1.5294402579403395E-4</v>
      </c>
      <c r="K208" s="15">
        <v>5.3548626601696014E-2</v>
      </c>
      <c r="L208" s="15">
        <v>749.3</v>
      </c>
      <c r="M208" s="15">
        <v>0.13181200623512268</v>
      </c>
      <c r="N208" s="15">
        <f t="shared" si="9"/>
        <v>-0.10703480570100631</v>
      </c>
      <c r="O208" s="15">
        <f t="shared" si="11"/>
        <v>104.23526763916016</v>
      </c>
      <c r="P208" s="15">
        <v>0.999</v>
      </c>
      <c r="Q208" s="15">
        <v>-0.22</v>
      </c>
      <c r="R208" s="15">
        <v>-0.95</v>
      </c>
    </row>
    <row r="209" spans="1:18" x14ac:dyDescent="0.25">
      <c r="A209" s="7">
        <v>201502</v>
      </c>
      <c r="B209" s="7" t="s">
        <v>8</v>
      </c>
      <c r="C209" s="7" t="s">
        <v>9</v>
      </c>
      <c r="D209" s="7" t="s">
        <v>12</v>
      </c>
      <c r="E209" s="7">
        <v>80450</v>
      </c>
      <c r="F209" s="13">
        <v>1145</v>
      </c>
      <c r="G209" s="12">
        <v>612</v>
      </c>
      <c r="H209" s="10">
        <f t="shared" si="10"/>
        <v>1.8709150326797386</v>
      </c>
      <c r="I209" s="10">
        <v>0.84838634380500966</v>
      </c>
      <c r="J209" s="11">
        <v>1.1234990371760435E-4</v>
      </c>
      <c r="K209" s="15">
        <v>5.0173327326774597E-2</v>
      </c>
      <c r="L209" s="15">
        <v>749.3</v>
      </c>
      <c r="M209" s="15">
        <v>0.1231527104973793</v>
      </c>
      <c r="N209" s="15">
        <f t="shared" si="9"/>
        <v>-0.18590176729704391</v>
      </c>
      <c r="O209" s="15">
        <f t="shared" si="11"/>
        <v>111.92469787597656</v>
      </c>
      <c r="P209" s="15">
        <v>0.496</v>
      </c>
      <c r="Q209" s="15">
        <v>-0.22</v>
      </c>
      <c r="R209" s="15">
        <v>-0.95</v>
      </c>
    </row>
    <row r="210" spans="1:18" x14ac:dyDescent="0.25">
      <c r="A210" s="7">
        <v>201501</v>
      </c>
      <c r="B210" s="7" t="s">
        <v>8</v>
      </c>
      <c r="C210" s="7" t="s">
        <v>9</v>
      </c>
      <c r="D210" s="7" t="s">
        <v>12</v>
      </c>
      <c r="E210" s="7">
        <v>80450</v>
      </c>
      <c r="F210" s="13">
        <v>2665</v>
      </c>
      <c r="G210" s="9">
        <v>2112</v>
      </c>
      <c r="H210" s="10">
        <f t="shared" si="10"/>
        <v>1.2618371212121211</v>
      </c>
      <c r="I210" s="10">
        <v>0.90526936116048884</v>
      </c>
      <c r="J210" s="11">
        <v>2.412202176756762E-4</v>
      </c>
      <c r="K210" s="15">
        <v>5.4445702582597733E-2</v>
      </c>
      <c r="L210" s="15">
        <v>749.3</v>
      </c>
      <c r="M210" s="15">
        <v>0.21778281033039093</v>
      </c>
      <c r="N210" s="15">
        <f t="shared" si="9"/>
        <v>-8.6073803084089989E-2</v>
      </c>
      <c r="O210" s="15">
        <f t="shared" si="11"/>
        <v>111.98569488525391</v>
      </c>
      <c r="P210" s="15">
        <v>4.6399999999999997E-2</v>
      </c>
      <c r="Q210" s="15">
        <v>-0.22</v>
      </c>
      <c r="R210" s="15">
        <v>-0.95</v>
      </c>
    </row>
    <row r="211" spans="1:18" x14ac:dyDescent="0.25">
      <c r="A211" s="7">
        <v>201412</v>
      </c>
      <c r="B211" s="7" t="s">
        <v>8</v>
      </c>
      <c r="C211" s="7" t="s">
        <v>9</v>
      </c>
      <c r="D211" s="7" t="s">
        <v>12</v>
      </c>
      <c r="E211" s="7">
        <v>80450</v>
      </c>
      <c r="F211" s="13">
        <v>66378</v>
      </c>
      <c r="G211" s="9">
        <v>70372</v>
      </c>
      <c r="H211" s="10">
        <f t="shared" si="10"/>
        <v>0.94324447223327457</v>
      </c>
      <c r="I211" s="10">
        <v>0.9310103324803557</v>
      </c>
      <c r="J211" s="11">
        <v>4.4791214557326929E-3</v>
      </c>
      <c r="K211" s="15">
        <v>5.660787969827652E-2</v>
      </c>
      <c r="L211" s="15">
        <v>742.8</v>
      </c>
      <c r="M211" s="15">
        <v>0.20030480623245239</v>
      </c>
      <c r="N211" s="15">
        <f t="shared" si="9"/>
        <v>-3.5552552772133469E-2</v>
      </c>
      <c r="O211" s="15">
        <f t="shared" si="11"/>
        <v>86.526222229003906</v>
      </c>
      <c r="P211" s="15">
        <v>0.34139999999999998</v>
      </c>
      <c r="Q211" s="15">
        <v>-0.15</v>
      </c>
      <c r="R211" s="15">
        <v>-1</v>
      </c>
    </row>
    <row r="212" spans="1:18" x14ac:dyDescent="0.25">
      <c r="A212" s="7">
        <v>201411</v>
      </c>
      <c r="B212" s="7" t="s">
        <v>8</v>
      </c>
      <c r="C212" s="7" t="s">
        <v>9</v>
      </c>
      <c r="D212" s="7" t="s">
        <v>12</v>
      </c>
      <c r="E212" s="7">
        <v>80450</v>
      </c>
      <c r="F212" s="13">
        <v>4673</v>
      </c>
      <c r="G212" s="9">
        <v>13600</v>
      </c>
      <c r="H212" s="10">
        <f t="shared" si="10"/>
        <v>0.34360294117647061</v>
      </c>
      <c r="I212" s="10">
        <v>0.89553593921174202</v>
      </c>
      <c r="J212" s="11">
        <v>3.5672455558860962E-4</v>
      </c>
      <c r="K212" s="15">
        <v>2.8165614232420921E-2</v>
      </c>
      <c r="L212" s="15">
        <v>742.8</v>
      </c>
      <c r="M212" s="15">
        <v>0.15289904177188873</v>
      </c>
      <c r="N212" s="15">
        <f t="shared" si="9"/>
        <v>-0.7001321575694488</v>
      </c>
      <c r="O212" s="15">
        <f t="shared" si="11"/>
        <v>84.380050659179688</v>
      </c>
      <c r="P212" s="15">
        <v>4.4200000000000003E-2</v>
      </c>
      <c r="Q212" s="15">
        <v>-0.15</v>
      </c>
      <c r="R212" s="15">
        <v>-1</v>
      </c>
    </row>
    <row r="213" spans="1:18" x14ac:dyDescent="0.25">
      <c r="A213" s="7">
        <v>201410</v>
      </c>
      <c r="B213" s="7" t="s">
        <v>8</v>
      </c>
      <c r="C213" s="7" t="s">
        <v>9</v>
      </c>
      <c r="D213" s="7" t="s">
        <v>12</v>
      </c>
      <c r="E213" s="7">
        <v>80450</v>
      </c>
      <c r="F213" s="13">
        <v>1523</v>
      </c>
      <c r="G213" s="9">
        <v>1028</v>
      </c>
      <c r="H213" s="10">
        <f t="shared" si="10"/>
        <v>1.4815175097276265</v>
      </c>
      <c r="I213" s="10">
        <v>0.93532108114580292</v>
      </c>
      <c r="J213" s="11">
        <v>1.0459612400965911E-4</v>
      </c>
      <c r="K213" s="15">
        <v>4.1821915656328201E-2</v>
      </c>
      <c r="L213" s="15">
        <v>742.8</v>
      </c>
      <c r="M213" s="15">
        <v>0.1330697238445282</v>
      </c>
      <c r="N213" s="15">
        <f t="shared" si="9"/>
        <v>-0.3810401564702916</v>
      </c>
      <c r="O213" s="15">
        <f t="shared" si="11"/>
        <v>83.661003112792969</v>
      </c>
      <c r="P213" s="15">
        <v>0.17269999999999999</v>
      </c>
      <c r="Q213" s="15">
        <v>-0.15</v>
      </c>
      <c r="R213" s="15">
        <v>-1</v>
      </c>
    </row>
    <row r="214" spans="1:18" x14ac:dyDescent="0.25">
      <c r="A214" s="7">
        <v>201408</v>
      </c>
      <c r="B214" s="7" t="s">
        <v>8</v>
      </c>
      <c r="C214" s="7" t="s">
        <v>9</v>
      </c>
      <c r="D214" s="7" t="s">
        <v>12</v>
      </c>
      <c r="E214" s="7">
        <v>80450</v>
      </c>
      <c r="F214" s="13">
        <v>21950</v>
      </c>
      <c r="G214" s="9">
        <v>23180</v>
      </c>
      <c r="H214" s="10">
        <f t="shared" si="10"/>
        <v>0.9469370146678171</v>
      </c>
      <c r="I214" s="10">
        <v>0.80471056835680765</v>
      </c>
      <c r="J214" s="11">
        <v>1.1752954502680022E-3</v>
      </c>
      <c r="K214" s="15">
        <v>4.1380450129508972E-2</v>
      </c>
      <c r="L214" s="15">
        <v>742.8</v>
      </c>
      <c r="M214" s="15">
        <v>0.16138376295566559</v>
      </c>
      <c r="N214" s="15">
        <f t="shared" si="9"/>
        <v>-0.39135540318287748</v>
      </c>
      <c r="O214" s="15">
        <f t="shared" si="11"/>
        <v>136.44558715820313</v>
      </c>
      <c r="P214" s="15">
        <v>0.85499999999999998</v>
      </c>
      <c r="Q214" s="15">
        <v>-0.15</v>
      </c>
      <c r="R214" s="15">
        <v>-1</v>
      </c>
    </row>
    <row r="215" spans="1:18" x14ac:dyDescent="0.25">
      <c r="A215" s="7">
        <v>201407</v>
      </c>
      <c r="B215" s="7" t="s">
        <v>8</v>
      </c>
      <c r="C215" s="7" t="s">
        <v>9</v>
      </c>
      <c r="D215" s="7" t="s">
        <v>12</v>
      </c>
      <c r="E215" s="7">
        <v>80450</v>
      </c>
      <c r="F215" s="13">
        <v>25287</v>
      </c>
      <c r="G215" s="9">
        <v>31172</v>
      </c>
      <c r="H215" s="10">
        <f t="shared" si="10"/>
        <v>0.81120877710766071</v>
      </c>
      <c r="I215" s="10">
        <v>0.87448683021443574</v>
      </c>
      <c r="J215" s="11">
        <v>1.3554553015471284E-3</v>
      </c>
      <c r="K215" s="15">
        <v>5.0992392003536224E-2</v>
      </c>
      <c r="L215" s="15">
        <v>742.8</v>
      </c>
      <c r="M215" s="15">
        <v>0.14513218402862549</v>
      </c>
      <c r="N215" s="15">
        <f t="shared" si="9"/>
        <v>-0.16676357031202721</v>
      </c>
      <c r="O215" s="15">
        <f t="shared" si="11"/>
        <v>138.75395202636719</v>
      </c>
      <c r="P215" s="15">
        <v>0.1643</v>
      </c>
      <c r="Q215" s="15">
        <v>-0.15</v>
      </c>
      <c r="R215" s="15">
        <v>-1</v>
      </c>
    </row>
    <row r="216" spans="1:18" x14ac:dyDescent="0.25">
      <c r="A216" s="7">
        <v>201406</v>
      </c>
      <c r="B216" s="7" t="s">
        <v>8</v>
      </c>
      <c r="C216" s="7" t="s">
        <v>9</v>
      </c>
      <c r="D216" s="7" t="s">
        <v>12</v>
      </c>
      <c r="E216" s="7">
        <v>80450</v>
      </c>
      <c r="F216" s="13">
        <v>44802</v>
      </c>
      <c r="G216" s="9">
        <v>51000</v>
      </c>
      <c r="H216" s="10">
        <f t="shared" si="10"/>
        <v>0.87847058823529411</v>
      </c>
      <c r="I216" s="10">
        <v>0.95678741046628024</v>
      </c>
      <c r="J216" s="11">
        <v>2.6933639256960518E-3</v>
      </c>
      <c r="K216" s="15">
        <v>3.9657361805438995E-2</v>
      </c>
      <c r="L216" s="15">
        <v>742.8</v>
      </c>
      <c r="M216" s="15">
        <v>0.11897207796573639</v>
      </c>
      <c r="N216" s="15">
        <f t="shared" si="9"/>
        <v>-0.43161694137912276</v>
      </c>
      <c r="O216" s="15">
        <f t="shared" si="11"/>
        <v>98.767105102539063</v>
      </c>
      <c r="P216" s="15">
        <v>0.49170000000000003</v>
      </c>
      <c r="Q216" s="15">
        <v>-0.15</v>
      </c>
      <c r="R216" s="15">
        <v>-1</v>
      </c>
    </row>
    <row r="217" spans="1:18" x14ac:dyDescent="0.25">
      <c r="A217" s="7">
        <v>201405</v>
      </c>
      <c r="B217" s="7" t="s">
        <v>8</v>
      </c>
      <c r="C217" s="7" t="s">
        <v>9</v>
      </c>
      <c r="D217" s="7" t="s">
        <v>12</v>
      </c>
      <c r="E217" s="7">
        <v>80450</v>
      </c>
      <c r="F217" s="13">
        <v>17089</v>
      </c>
      <c r="G217" s="9">
        <v>29700</v>
      </c>
      <c r="H217" s="10">
        <f t="shared" si="10"/>
        <v>0.57538720538720534</v>
      </c>
      <c r="I217" s="10">
        <v>1.0883669651332932</v>
      </c>
      <c r="J217" s="11">
        <v>7.2566977528271668E-4</v>
      </c>
      <c r="K217" s="15">
        <v>4.5155219733715057E-2</v>
      </c>
      <c r="L217" s="15">
        <v>742.8</v>
      </c>
      <c r="M217" s="15">
        <v>0.10159924626350403</v>
      </c>
      <c r="N217" s="15">
        <f t="shared" si="9"/>
        <v>-0.30315445116041051</v>
      </c>
      <c r="O217" s="15">
        <f t="shared" si="11"/>
        <v>83.428855895996094</v>
      </c>
      <c r="P217" s="15">
        <v>0.2576</v>
      </c>
      <c r="Q217" s="15">
        <v>-0.15</v>
      </c>
      <c r="R217" s="15">
        <v>-1</v>
      </c>
    </row>
    <row r="218" spans="1:18" x14ac:dyDescent="0.25">
      <c r="A218" s="7">
        <v>201404</v>
      </c>
      <c r="B218" s="7" t="s">
        <v>8</v>
      </c>
      <c r="C218" s="7" t="s">
        <v>9</v>
      </c>
      <c r="D218" s="7" t="s">
        <v>12</v>
      </c>
      <c r="E218" s="7">
        <v>80450</v>
      </c>
      <c r="F218" s="13">
        <v>3303</v>
      </c>
      <c r="G218" s="9">
        <v>8700</v>
      </c>
      <c r="H218" s="10">
        <f t="shared" si="10"/>
        <v>0.3796551724137931</v>
      </c>
      <c r="I218" s="10">
        <v>1.1830992297893104</v>
      </c>
      <c r="J218" s="11">
        <v>1.445844964185024E-4</v>
      </c>
      <c r="K218" s="15">
        <v>3.5493157804012299E-2</v>
      </c>
      <c r="L218" s="15">
        <v>742.8</v>
      </c>
      <c r="M218" s="15">
        <v>0.10253579169511795</v>
      </c>
      <c r="N218" s="15">
        <f t="shared" si="9"/>
        <v>-0.52891738507569885</v>
      </c>
      <c r="O218" s="15">
        <f t="shared" si="11"/>
        <v>93.221542358398438</v>
      </c>
      <c r="P218" s="20">
        <v>0.1024</v>
      </c>
      <c r="Q218" s="15">
        <v>-0.15</v>
      </c>
      <c r="R218" s="15">
        <v>-1</v>
      </c>
    </row>
    <row r="219" spans="1:18" x14ac:dyDescent="0.25">
      <c r="A219" s="7">
        <v>201403</v>
      </c>
      <c r="B219" s="7" t="s">
        <v>8</v>
      </c>
      <c r="C219" s="7" t="s">
        <v>9</v>
      </c>
      <c r="D219" s="7" t="s">
        <v>12</v>
      </c>
      <c r="E219" s="7">
        <v>80450</v>
      </c>
      <c r="F219" s="13">
        <v>3831</v>
      </c>
      <c r="G219" s="9">
        <v>13000</v>
      </c>
      <c r="H219" s="10">
        <f t="shared" si="10"/>
        <v>0.2946923076923077</v>
      </c>
      <c r="I219" s="10">
        <v>1.0285753328731473</v>
      </c>
      <c r="J219" s="11">
        <v>2.4457687020386576E-4</v>
      </c>
      <c r="K219" s="15">
        <v>5.5813953280448914E-2</v>
      </c>
      <c r="L219" s="15">
        <v>742.8</v>
      </c>
      <c r="M219" s="15">
        <v>0.24186046421527863</v>
      </c>
      <c r="N219" s="15">
        <f t="shared" ref="N219:N233" si="12">(K219-$S$90)/$S$91</f>
        <v>-5.4103371293654737E-2</v>
      </c>
      <c r="O219" s="15">
        <f t="shared" si="11"/>
        <v>119.83855438232422</v>
      </c>
      <c r="P219" s="15">
        <v>0.73450000000000004</v>
      </c>
      <c r="Q219" s="15">
        <v>-0.15</v>
      </c>
      <c r="R219" s="15">
        <v>-1</v>
      </c>
    </row>
    <row r="220" spans="1:18" x14ac:dyDescent="0.25">
      <c r="A220" s="7">
        <v>201402</v>
      </c>
      <c r="B220" s="7" t="s">
        <v>8</v>
      </c>
      <c r="C220" s="7" t="s">
        <v>9</v>
      </c>
      <c r="D220" s="7" t="s">
        <v>12</v>
      </c>
      <c r="E220" s="7">
        <v>80450</v>
      </c>
      <c r="F220" s="13">
        <v>3989</v>
      </c>
      <c r="G220" s="9">
        <v>2608</v>
      </c>
      <c r="H220" s="10">
        <f t="shared" si="10"/>
        <v>1.5295245398773005</v>
      </c>
      <c r="I220" s="10">
        <v>0.6005521892344432</v>
      </c>
      <c r="J220" s="11">
        <v>3.9034530930486731E-4</v>
      </c>
      <c r="K220" s="15">
        <v>2.9033595696091652E-2</v>
      </c>
      <c r="L220" s="15">
        <v>742.8</v>
      </c>
      <c r="M220" s="15">
        <v>0.10369141399860382</v>
      </c>
      <c r="N220" s="15">
        <f t="shared" si="12"/>
        <v>-0.67985097501772207</v>
      </c>
      <c r="O220" s="15">
        <f t="shared" si="11"/>
        <v>69.003524780273438</v>
      </c>
      <c r="P220" s="15">
        <v>0.60050000000000003</v>
      </c>
      <c r="Q220" s="15">
        <v>-0.15</v>
      </c>
      <c r="R220" s="15">
        <v>-1</v>
      </c>
    </row>
    <row r="221" spans="1:18" x14ac:dyDescent="0.25">
      <c r="A221" s="7">
        <v>201401</v>
      </c>
      <c r="B221" s="7" t="s">
        <v>8</v>
      </c>
      <c r="C221" s="7" t="s">
        <v>9</v>
      </c>
      <c r="D221" s="7" t="s">
        <v>12</v>
      </c>
      <c r="E221" s="7">
        <v>80450</v>
      </c>
      <c r="F221" s="13">
        <v>5955</v>
      </c>
      <c r="G221" s="9">
        <v>7100</v>
      </c>
      <c r="H221" s="10">
        <f t="shared" si="10"/>
        <v>0.83873239436619718</v>
      </c>
      <c r="I221" s="10">
        <v>0.86024087835219754</v>
      </c>
      <c r="J221" s="11">
        <v>5.7933053711091214E-4</v>
      </c>
      <c r="K221" s="15">
        <v>4.7132756561040878E-2</v>
      </c>
      <c r="L221" s="15">
        <v>742.8</v>
      </c>
      <c r="M221" s="15">
        <v>9.4265513122081757E-2</v>
      </c>
      <c r="N221" s="15">
        <f t="shared" si="12"/>
        <v>-0.25694749044013881</v>
      </c>
      <c r="O221" s="15">
        <f t="shared" si="11"/>
        <v>77.915969848632813</v>
      </c>
      <c r="P221" s="15">
        <v>0.8256</v>
      </c>
      <c r="Q221" s="15">
        <v>-0.15</v>
      </c>
      <c r="R221" s="15">
        <v>-1</v>
      </c>
    </row>
    <row r="222" spans="1:18" x14ac:dyDescent="0.25">
      <c r="A222" s="7">
        <v>201312</v>
      </c>
      <c r="B222" s="7" t="s">
        <v>8</v>
      </c>
      <c r="C222" s="7" t="s">
        <v>9</v>
      </c>
      <c r="D222" s="7" t="s">
        <v>12</v>
      </c>
      <c r="E222" s="7">
        <v>80450</v>
      </c>
      <c r="F222" s="13">
        <v>4733</v>
      </c>
      <c r="G222" s="9">
        <v>4600</v>
      </c>
      <c r="H222" s="10">
        <f t="shared" si="10"/>
        <v>1.028913043478261</v>
      </c>
      <c r="I222" s="10">
        <v>0.40964268996933112</v>
      </c>
      <c r="J222" s="11">
        <v>3.8830060849896753E-4</v>
      </c>
      <c r="K222" s="15">
        <v>8.7427146732807159E-2</v>
      </c>
      <c r="L222" s="15">
        <v>713.7</v>
      </c>
      <c r="M222" s="15">
        <v>7.9100750386714935E-2</v>
      </c>
      <c r="N222" s="15">
        <f t="shared" si="12"/>
        <v>0.68456787260464891</v>
      </c>
      <c r="O222" s="15">
        <f t="shared" si="11"/>
        <v>70.372489929199219</v>
      </c>
      <c r="P222" s="15">
        <v>0.87229999999999996</v>
      </c>
      <c r="Q222" s="15">
        <v>-0.05</v>
      </c>
      <c r="R222" s="15">
        <v>-1.23</v>
      </c>
    </row>
    <row r="223" spans="1:18" x14ac:dyDescent="0.25">
      <c r="A223" s="7">
        <v>201311</v>
      </c>
      <c r="B223" s="7" t="s">
        <v>8</v>
      </c>
      <c r="C223" s="7" t="s">
        <v>9</v>
      </c>
      <c r="D223" s="7" t="s">
        <v>12</v>
      </c>
      <c r="E223" s="7">
        <v>80450</v>
      </c>
      <c r="F223" s="13">
        <v>842</v>
      </c>
      <c r="G223" s="9">
        <v>1000</v>
      </c>
      <c r="H223" s="10">
        <f t="shared" si="10"/>
        <v>0.84199999999999997</v>
      </c>
      <c r="I223" s="10">
        <v>0.93066946350120439</v>
      </c>
      <c r="J223" s="11">
        <v>7.2968884663665007E-5</v>
      </c>
      <c r="K223" s="15">
        <v>3.408445417881012E-2</v>
      </c>
      <c r="L223" s="15">
        <v>713.7</v>
      </c>
      <c r="M223" s="15">
        <v>0.15906079113483429</v>
      </c>
      <c r="N223" s="15">
        <f t="shared" si="12"/>
        <v>-0.56183303659569805</v>
      </c>
      <c r="O223" s="15">
        <f t="shared" si="11"/>
        <v>77.779022216796875</v>
      </c>
      <c r="P223" s="15">
        <v>0.18060000000000001</v>
      </c>
      <c r="Q223" s="15">
        <v>-0.05</v>
      </c>
      <c r="R223" s="15">
        <v>-1.23</v>
      </c>
    </row>
    <row r="224" spans="1:18" x14ac:dyDescent="0.25">
      <c r="A224" s="7">
        <v>201310</v>
      </c>
      <c r="B224" s="7" t="s">
        <v>8</v>
      </c>
      <c r="C224" s="7" t="s">
        <v>9</v>
      </c>
      <c r="D224" s="7" t="s">
        <v>12</v>
      </c>
      <c r="E224" s="7">
        <v>80450</v>
      </c>
      <c r="F224" s="13">
        <v>13773</v>
      </c>
      <c r="G224" s="9">
        <v>7105</v>
      </c>
      <c r="H224" s="10">
        <f t="shared" si="10"/>
        <v>1.9384940182969739</v>
      </c>
      <c r="I224" s="10">
        <v>0.87947279422614855</v>
      </c>
      <c r="J224" s="11">
        <v>1.0788508112177925E-3</v>
      </c>
      <c r="K224" s="15">
        <v>7.5952112674713135E-2</v>
      </c>
      <c r="L224" s="15">
        <v>713.7</v>
      </c>
      <c r="M224" s="15">
        <v>0.12658685445785522</v>
      </c>
      <c r="N224" s="15">
        <f t="shared" si="12"/>
        <v>0.4164431830113105</v>
      </c>
      <c r="O224" s="15">
        <f t="shared" si="11"/>
        <v>72.953117370605469</v>
      </c>
      <c r="P224" s="15">
        <v>0.74590000000000001</v>
      </c>
      <c r="Q224" s="15">
        <v>-0.05</v>
      </c>
      <c r="R224" s="15">
        <v>-1.23</v>
      </c>
    </row>
    <row r="225" spans="1:18" x14ac:dyDescent="0.25">
      <c r="A225" s="7">
        <v>201309</v>
      </c>
      <c r="B225" s="7" t="s">
        <v>8</v>
      </c>
      <c r="C225" s="7" t="s">
        <v>9</v>
      </c>
      <c r="D225" s="7" t="s">
        <v>12</v>
      </c>
      <c r="E225" s="7">
        <v>80450</v>
      </c>
      <c r="F225" s="13">
        <v>7998</v>
      </c>
      <c r="G225" s="9">
        <v>4800</v>
      </c>
      <c r="H225" s="10">
        <f t="shared" si="10"/>
        <v>1.66625</v>
      </c>
      <c r="I225" s="10">
        <v>0.86075426657052223</v>
      </c>
      <c r="J225" s="11">
        <v>5.641795902566368E-4</v>
      </c>
      <c r="K225" s="15">
        <v>5.7723388075828552E-2</v>
      </c>
      <c r="L225" s="15">
        <v>713.7</v>
      </c>
      <c r="M225" s="15">
        <v>0.12699145078659058</v>
      </c>
      <c r="N225" s="15">
        <f t="shared" si="12"/>
        <v>-9.48767697693376E-3</v>
      </c>
      <c r="O225" s="15">
        <f t="shared" si="11"/>
        <v>100.45932769775391</v>
      </c>
      <c r="P225" s="15">
        <v>0.21920000000000001</v>
      </c>
      <c r="Q225" s="15">
        <v>-0.05</v>
      </c>
      <c r="R225" s="15">
        <v>-1.23</v>
      </c>
    </row>
    <row r="226" spans="1:18" x14ac:dyDescent="0.25">
      <c r="A226" s="7">
        <v>201308</v>
      </c>
      <c r="B226" s="7" t="s">
        <v>8</v>
      </c>
      <c r="C226" s="7" t="s">
        <v>9</v>
      </c>
      <c r="D226" s="7" t="s">
        <v>12</v>
      </c>
      <c r="E226" s="7">
        <v>80450</v>
      </c>
      <c r="F226" s="13">
        <v>736</v>
      </c>
      <c r="G226" s="9">
        <v>1000</v>
      </c>
      <c r="H226" s="10">
        <f t="shared" si="10"/>
        <v>0.73599999999999999</v>
      </c>
      <c r="I226" s="10">
        <v>0.85938476021001886</v>
      </c>
      <c r="J226" s="11">
        <v>3.8715432471106633E-5</v>
      </c>
      <c r="K226" s="15">
        <v>3.4436579793691635E-2</v>
      </c>
      <c r="L226" s="15">
        <v>713.7</v>
      </c>
      <c r="M226" s="15">
        <v>0.17600917816162109</v>
      </c>
      <c r="N226" s="15">
        <f t="shared" si="12"/>
        <v>-0.55360529882080456</v>
      </c>
      <c r="O226" s="15">
        <f t="shared" si="11"/>
        <v>90.956748962402344</v>
      </c>
      <c r="P226" s="15">
        <v>2.01E-2</v>
      </c>
      <c r="Q226" s="15">
        <v>-0.05</v>
      </c>
      <c r="R226" s="15">
        <v>-1.23</v>
      </c>
    </row>
    <row r="227" spans="1:18" x14ac:dyDescent="0.25">
      <c r="A227" s="7">
        <v>201307</v>
      </c>
      <c r="B227" s="7" t="s">
        <v>8</v>
      </c>
      <c r="C227" s="7" t="s">
        <v>9</v>
      </c>
      <c r="D227" s="7" t="s">
        <v>12</v>
      </c>
      <c r="E227" s="7">
        <v>80450</v>
      </c>
      <c r="F227" s="13">
        <v>4142</v>
      </c>
      <c r="G227" s="9">
        <v>14200</v>
      </c>
      <c r="H227" s="10">
        <f t="shared" si="10"/>
        <v>0.29169014084507044</v>
      </c>
      <c r="I227" s="10">
        <v>0.58904519089667107</v>
      </c>
      <c r="J227" s="11">
        <v>2.0207940784000775E-4</v>
      </c>
      <c r="K227" s="15">
        <v>6.2833800911903381E-2</v>
      </c>
      <c r="L227" s="15">
        <v>713.7</v>
      </c>
      <c r="M227" s="15">
        <v>7.8542254865169525E-2</v>
      </c>
      <c r="N227" s="15">
        <f t="shared" si="12"/>
        <v>0.1099218035029845</v>
      </c>
      <c r="O227" s="15">
        <f t="shared" si="11"/>
        <v>73.975814819335938</v>
      </c>
      <c r="P227" s="15">
        <v>0.74960000000000004</v>
      </c>
      <c r="Q227" s="15">
        <v>-0.05</v>
      </c>
      <c r="R227" s="15">
        <v>-1.23</v>
      </c>
    </row>
    <row r="228" spans="1:18" x14ac:dyDescent="0.25">
      <c r="A228" s="7">
        <v>201306</v>
      </c>
      <c r="B228" s="7" t="s">
        <v>8</v>
      </c>
      <c r="C228" s="7" t="s">
        <v>9</v>
      </c>
      <c r="D228" s="7" t="s">
        <v>12</v>
      </c>
      <c r="E228" s="7">
        <v>80450</v>
      </c>
      <c r="F228" s="13">
        <v>52895</v>
      </c>
      <c r="G228" s="9">
        <v>54000</v>
      </c>
      <c r="H228" s="10">
        <f t="shared" si="10"/>
        <v>0.97953703703703698</v>
      </c>
      <c r="I228" s="10">
        <v>0.81351639035780177</v>
      </c>
      <c r="J228" s="11">
        <v>3.2872427450561939E-3</v>
      </c>
      <c r="K228" s="15">
        <v>3.4247878938913345E-2</v>
      </c>
      <c r="L228" s="15">
        <v>713.7</v>
      </c>
      <c r="M228" s="15">
        <v>0.11796491593122482</v>
      </c>
      <c r="N228" s="15">
        <f t="shared" si="12"/>
        <v>-0.55801446726921877</v>
      </c>
      <c r="O228" s="15">
        <f t="shared" si="11"/>
        <v>82.973007202148438</v>
      </c>
      <c r="P228" s="15">
        <v>1</v>
      </c>
      <c r="Q228" s="15">
        <v>-0.05</v>
      </c>
      <c r="R228" s="15">
        <v>-1.23</v>
      </c>
    </row>
    <row r="229" spans="1:18" x14ac:dyDescent="0.25">
      <c r="A229" s="7">
        <v>201305</v>
      </c>
      <c r="B229" s="7" t="s">
        <v>8</v>
      </c>
      <c r="C229" s="7" t="s">
        <v>9</v>
      </c>
      <c r="D229" s="7" t="s">
        <v>12</v>
      </c>
      <c r="E229" s="7">
        <v>80450</v>
      </c>
      <c r="F229" s="13">
        <v>16688</v>
      </c>
      <c r="G229" s="9">
        <v>16714</v>
      </c>
      <c r="H229" s="10">
        <f t="shared" si="10"/>
        <v>0.99844441785329663</v>
      </c>
      <c r="I229" s="10">
        <v>1.3488334201858603</v>
      </c>
      <c r="J229" s="11">
        <v>6.123398964907802E-4</v>
      </c>
      <c r="K229" s="15">
        <v>1.4431055635213852E-2</v>
      </c>
      <c r="L229" s="15">
        <v>713.7</v>
      </c>
      <c r="M229" s="15">
        <v>0.12266397476196289</v>
      </c>
      <c r="N229" s="15">
        <f t="shared" si="12"/>
        <v>-1.0210527092588029</v>
      </c>
      <c r="O229" s="15">
        <f t="shared" si="11"/>
        <v>83.717315673828125</v>
      </c>
      <c r="P229" s="15">
        <v>0.93569999999999998</v>
      </c>
      <c r="Q229" s="15">
        <v>-0.05</v>
      </c>
      <c r="R229" s="15">
        <v>-1.23</v>
      </c>
    </row>
    <row r="230" spans="1:18" x14ac:dyDescent="0.25">
      <c r="A230" s="7">
        <v>201304</v>
      </c>
      <c r="B230" s="7" t="s">
        <v>8</v>
      </c>
      <c r="C230" s="7" t="s">
        <v>9</v>
      </c>
      <c r="D230" s="7" t="s">
        <v>12</v>
      </c>
      <c r="E230" s="7">
        <v>80450</v>
      </c>
      <c r="F230" s="13">
        <v>7831</v>
      </c>
      <c r="G230" s="9">
        <v>9000</v>
      </c>
      <c r="H230" s="10">
        <f t="shared" si="10"/>
        <v>0.87011111111111106</v>
      </c>
      <c r="I230" s="10">
        <v>1.107162560679527</v>
      </c>
      <c r="J230" s="11">
        <v>3.6561292548840328E-4</v>
      </c>
      <c r="K230" s="15">
        <v>4.4923629611730576E-2</v>
      </c>
      <c r="L230" s="15">
        <v>713.7</v>
      </c>
      <c r="M230" s="15">
        <v>0.14600180089473724</v>
      </c>
      <c r="N230" s="15">
        <f t="shared" si="12"/>
        <v>-0.3085657666524263</v>
      </c>
      <c r="O230" s="15">
        <f t="shared" si="11"/>
        <v>95.107872009277344</v>
      </c>
      <c r="P230" s="15">
        <v>0.99260000000000004</v>
      </c>
      <c r="Q230" s="15">
        <v>-0.05</v>
      </c>
      <c r="R230" s="15">
        <v>-1.23</v>
      </c>
    </row>
    <row r="231" spans="1:18" x14ac:dyDescent="0.25">
      <c r="A231" s="7">
        <v>201303</v>
      </c>
      <c r="B231" s="7" t="s">
        <v>8</v>
      </c>
      <c r="C231" s="7" t="s">
        <v>9</v>
      </c>
      <c r="D231" s="7" t="s">
        <v>12</v>
      </c>
      <c r="E231" s="7">
        <v>80450</v>
      </c>
      <c r="F231" s="13">
        <v>30113</v>
      </c>
      <c r="G231" s="9">
        <v>40268</v>
      </c>
      <c r="H231" s="10">
        <f t="shared" si="10"/>
        <v>0.74781464189927482</v>
      </c>
      <c r="I231" s="10">
        <v>0.83122150359342051</v>
      </c>
      <c r="J231" s="11">
        <v>1.8209455359320332E-3</v>
      </c>
      <c r="K231" s="15">
        <v>4.9641869962215424E-2</v>
      </c>
      <c r="L231" s="15">
        <v>713.7</v>
      </c>
      <c r="M231" s="15">
        <v>9.2192046344280243E-2</v>
      </c>
      <c r="N231" s="15">
        <f t="shared" si="12"/>
        <v>-0.19831975579129249</v>
      </c>
      <c r="O231" s="15">
        <f t="shared" si="11"/>
        <v>75.896720886230469</v>
      </c>
      <c r="P231" s="15">
        <v>0.91390000000000005</v>
      </c>
      <c r="Q231" s="15">
        <v>-0.05</v>
      </c>
      <c r="R231" s="15">
        <v>-1.23</v>
      </c>
    </row>
    <row r="232" spans="1:18" x14ac:dyDescent="0.25">
      <c r="A232" s="7">
        <v>201302</v>
      </c>
      <c r="B232" s="7" t="s">
        <v>8</v>
      </c>
      <c r="C232" s="7" t="s">
        <v>9</v>
      </c>
      <c r="D232" s="7" t="s">
        <v>12</v>
      </c>
      <c r="E232" s="7">
        <v>80450</v>
      </c>
      <c r="F232" s="13">
        <v>7905</v>
      </c>
      <c r="G232" s="9">
        <v>19000</v>
      </c>
      <c r="H232" s="10">
        <f t="shared" si="10"/>
        <v>0.4160526315789474</v>
      </c>
      <c r="I232" s="10">
        <v>0.86039048257586914</v>
      </c>
      <c r="J232" s="11">
        <v>7.8954567614124803E-4</v>
      </c>
      <c r="K232" s="15">
        <v>3.5523977130651474E-2</v>
      </c>
      <c r="L232" s="15">
        <v>713.7</v>
      </c>
      <c r="M232" s="15">
        <v>0.11446615308523178</v>
      </c>
      <c r="N232" s="15">
        <f t="shared" si="12"/>
        <v>-0.52819726325760497</v>
      </c>
      <c r="O232" s="15">
        <f t="shared" si="11"/>
        <v>81.59033203125</v>
      </c>
      <c r="P232" s="15">
        <v>0.55669999999999997</v>
      </c>
      <c r="Q232" s="15">
        <v>-0.05</v>
      </c>
      <c r="R232" s="15">
        <v>-1.23</v>
      </c>
    </row>
    <row r="233" spans="1:18" x14ac:dyDescent="0.25">
      <c r="A233" s="7">
        <v>201301</v>
      </c>
      <c r="B233" s="7" t="s">
        <v>8</v>
      </c>
      <c r="C233" s="7" t="s">
        <v>9</v>
      </c>
      <c r="D233" s="7" t="s">
        <v>12</v>
      </c>
      <c r="E233" s="7">
        <v>80450</v>
      </c>
      <c r="F233" s="13">
        <v>39804</v>
      </c>
      <c r="G233" s="9">
        <v>53500</v>
      </c>
      <c r="H233" s="10">
        <f t="shared" si="10"/>
        <v>0.74399999999999999</v>
      </c>
      <c r="I233" s="10">
        <v>0.75990023821444797</v>
      </c>
      <c r="J233" s="11">
        <v>3.9550560011446653E-3</v>
      </c>
      <c r="K233" s="15">
        <v>7.3391802608966827E-2</v>
      </c>
      <c r="L233" s="15">
        <v>713.7</v>
      </c>
      <c r="M233" s="15">
        <v>0.11742687970399857</v>
      </c>
      <c r="N233" s="15">
        <f t="shared" si="12"/>
        <v>0.35661919136426945</v>
      </c>
      <c r="O233" s="15">
        <f t="shared" si="11"/>
        <v>90.657493591308594</v>
      </c>
      <c r="P233" s="15">
        <v>0.15379999999999999</v>
      </c>
      <c r="Q233" s="15">
        <v>-0.05</v>
      </c>
      <c r="R233" s="15">
        <v>-1.23</v>
      </c>
    </row>
    <row r="235" spans="1:18" x14ac:dyDescent="0.25">
      <c r="F235">
        <f>_xlfn.STDEV.P(F2:F233)</f>
        <v>20136.500168632083</v>
      </c>
      <c r="L235">
        <f>_xlfn.STDEV.P(L2:L233)</f>
        <v>49.020034648831626</v>
      </c>
      <c r="N235">
        <f>_xlfn.STDEV.P(N2:N233)</f>
        <v>0.99568032537799722</v>
      </c>
      <c r="P235">
        <f>_xlfn.STDEV.P(P2:P233)</f>
        <v>0.38517820537024411</v>
      </c>
    </row>
    <row r="236" spans="1:18" x14ac:dyDescent="0.25">
      <c r="F236" s="5">
        <f>MIN(F2:F233)</f>
        <v>23</v>
      </c>
      <c r="L236" s="5">
        <f>MIN(L2:L233)</f>
        <v>700.4</v>
      </c>
      <c r="N236" s="5">
        <f>MIN(N2:N233)</f>
        <v>-1.4012732908396379</v>
      </c>
      <c r="P236" s="5">
        <f>MIN(P2:P233)</f>
        <v>2.0000000000000001E-4</v>
      </c>
    </row>
    <row r="237" spans="1:18" x14ac:dyDescent="0.25">
      <c r="F237" s="5">
        <f>MAX(F2:F233)</f>
        <v>227390</v>
      </c>
      <c r="L237" s="5">
        <f>MAX(L2:L233)</f>
        <v>854.8</v>
      </c>
      <c r="N237" s="5">
        <f>MAX(N2:N233)</f>
        <v>6.105498509824109</v>
      </c>
      <c r="P237" s="5">
        <f>MAX(P2:P233)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0730-98F8-476D-80F5-4BD1099D2013}">
  <dimension ref="A1:S233"/>
  <sheetViews>
    <sheetView workbookViewId="0"/>
  </sheetViews>
  <sheetFormatPr defaultRowHeight="15" x14ac:dyDescent="0.25"/>
  <cols>
    <col min="1" max="1" width="7" bestFit="1" customWidth="1"/>
    <col min="2" max="2" width="16.42578125" bestFit="1" customWidth="1"/>
    <col min="3" max="3" width="11.5703125" bestFit="1" customWidth="1"/>
    <col min="4" max="4" width="15.42578125" bestFit="1" customWidth="1"/>
    <col min="5" max="5" width="17.28515625" bestFit="1" customWidth="1"/>
    <col min="6" max="6" width="20.7109375" bestFit="1" customWidth="1"/>
    <col min="7" max="7" width="16" bestFit="1" customWidth="1"/>
    <col min="8" max="8" width="18.7109375" bestFit="1" customWidth="1"/>
    <col min="9" max="9" width="21.7109375" bestFit="1" customWidth="1"/>
    <col min="10" max="10" width="20.140625" bestFit="1" customWidth="1"/>
    <col min="11" max="11" width="21.140625" bestFit="1" customWidth="1"/>
    <col min="12" max="12" width="13.7109375" bestFit="1" customWidth="1"/>
    <col min="13" max="13" width="14.85546875" bestFit="1" customWidth="1"/>
    <col min="14" max="14" width="13.5703125" bestFit="1" customWidth="1"/>
    <col min="15" max="15" width="12.42578125" customWidth="1"/>
    <col min="16" max="16" width="16.5703125" customWidth="1"/>
    <col min="17" max="17" width="13.5703125" customWidth="1"/>
    <col min="18" max="18" width="13.7109375" customWidth="1"/>
    <col min="19" max="19" width="17.85546875" customWidth="1"/>
  </cols>
  <sheetData>
    <row r="1" spans="1:19" ht="30" x14ac:dyDescent="0.25">
      <c r="A1" s="14" t="s">
        <v>13</v>
      </c>
      <c r="B1" s="14" t="s">
        <v>4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11</v>
      </c>
      <c r="H1" s="14" t="s">
        <v>25</v>
      </c>
      <c r="I1" s="1" t="s">
        <v>19</v>
      </c>
      <c r="J1" s="1" t="s">
        <v>7</v>
      </c>
      <c r="K1" s="1" t="s">
        <v>18</v>
      </c>
      <c r="L1" s="1" t="s">
        <v>21</v>
      </c>
      <c r="M1" s="1" t="s">
        <v>20</v>
      </c>
      <c r="N1" s="1" t="s">
        <v>22</v>
      </c>
      <c r="O1" s="1" t="s">
        <v>24</v>
      </c>
      <c r="P1" s="1" t="s">
        <v>26</v>
      </c>
      <c r="Q1" s="1" t="s">
        <v>29</v>
      </c>
      <c r="R1" s="1" t="s">
        <v>30</v>
      </c>
      <c r="S1" s="1" t="s">
        <v>31</v>
      </c>
    </row>
    <row r="2" spans="1:19" x14ac:dyDescent="0.25">
      <c r="A2" s="15">
        <f>Data!A2</f>
        <v>202506</v>
      </c>
      <c r="B2" s="15">
        <v>80450</v>
      </c>
      <c r="C2" s="15">
        <f>Data!F2</f>
        <v>10906</v>
      </c>
      <c r="D2" s="15">
        <f>IF(Data!D2="Mauritius", 1, 0)</f>
        <v>1</v>
      </c>
      <c r="E2" s="15">
        <f>IF(Regression!A2&gt;201500, 1, 0)</f>
        <v>1</v>
      </c>
      <c r="F2" s="15">
        <f>D2*E2</f>
        <v>1</v>
      </c>
      <c r="G2" s="11">
        <f>Data!J2</f>
        <v>7.7291319814841008E-4</v>
      </c>
      <c r="H2" s="11">
        <f>F2*G2</f>
        <v>7.7291319814841008E-4</v>
      </c>
      <c r="I2" s="10">
        <f>Data!H2</f>
        <v>2.2320916905444128</v>
      </c>
      <c r="J2" s="10">
        <f>Data!I2</f>
        <v>1.4290056637643145</v>
      </c>
      <c r="K2" s="10">
        <f t="shared" ref="K2:K65" si="0">(I2*G2)+(J2*(1-G2))</f>
        <v>1.4296263795536615</v>
      </c>
      <c r="L2" s="17">
        <f>Data!N2</f>
        <v>2.9757508621496047</v>
      </c>
      <c r="M2" s="15"/>
      <c r="N2" s="15">
        <f>Data!M2</f>
        <v>0.46758103370666504</v>
      </c>
      <c r="O2" s="15">
        <f>Data!O2</f>
        <v>220.12001037597656</v>
      </c>
      <c r="P2" s="17">
        <f>Data!P2</f>
        <v>0.74980000000000002</v>
      </c>
      <c r="Q2" s="17"/>
      <c r="R2" s="15"/>
      <c r="S2" s="15">
        <f>P2*F2</f>
        <v>0.74980000000000002</v>
      </c>
    </row>
    <row r="3" spans="1:19" x14ac:dyDescent="0.25">
      <c r="A3" s="15">
        <f>Data!A3</f>
        <v>202505</v>
      </c>
      <c r="B3" s="15">
        <v>80450</v>
      </c>
      <c r="C3" s="15">
        <f>Data!F3</f>
        <v>38296</v>
      </c>
      <c r="D3" s="15">
        <f>IF(Data!D3="Mauritius", 1, 0)</f>
        <v>1</v>
      </c>
      <c r="E3" s="15">
        <f>IF(Regression!A3&gt;201500, 1, 0)</f>
        <v>1</v>
      </c>
      <c r="F3" s="15">
        <f t="shared" ref="F3:F66" si="1">D3*E3</f>
        <v>1</v>
      </c>
      <c r="G3" s="11">
        <f>Data!J3</f>
        <v>1.3475160310459306E-3</v>
      </c>
      <c r="H3" s="11">
        <f t="shared" ref="H3:H66" si="2">F3*G3</f>
        <v>1.3475160310459306E-3</v>
      </c>
      <c r="I3" s="10">
        <f>Data!H3</f>
        <v>3.2737220037613266</v>
      </c>
      <c r="J3" s="10">
        <f>Data!I3</f>
        <v>1.5528385692468156</v>
      </c>
      <c r="K3" s="10">
        <f t="shared" si="0"/>
        <v>1.5551574872623852</v>
      </c>
      <c r="L3" s="17">
        <f>Data!N3</f>
        <v>1.4897919494982994</v>
      </c>
      <c r="M3" s="15"/>
      <c r="N3" s="15">
        <f>Data!M3</f>
        <v>0.76241862773895264</v>
      </c>
      <c r="O3" s="15">
        <f>Data!O3</f>
        <v>165.22462463378906</v>
      </c>
      <c r="P3" s="17">
        <f>Data!P3</f>
        <v>0.82299999999999995</v>
      </c>
      <c r="Q3" s="17"/>
      <c r="R3" s="15"/>
      <c r="S3" s="15">
        <f t="shared" ref="S3:S66" si="3">P3*F3</f>
        <v>0.82299999999999995</v>
      </c>
    </row>
    <row r="4" spans="1:19" x14ac:dyDescent="0.25">
      <c r="A4" s="15">
        <f>Data!A4</f>
        <v>202504</v>
      </c>
      <c r="B4" s="15">
        <v>80450</v>
      </c>
      <c r="C4" s="15">
        <f>Data!F4</f>
        <v>38615</v>
      </c>
      <c r="D4" s="15">
        <f>IF(Data!D4="Mauritius", 1, 0)</f>
        <v>1</v>
      </c>
      <c r="E4" s="15">
        <f>IF(Regression!A4&gt;201500, 1, 0)</f>
        <v>1</v>
      </c>
      <c r="F4" s="15">
        <f t="shared" si="1"/>
        <v>1</v>
      </c>
      <c r="G4" s="11">
        <f>Data!J4</f>
        <v>1.2407354909053591E-3</v>
      </c>
      <c r="H4" s="11">
        <f t="shared" si="2"/>
        <v>1.2407354909053591E-3</v>
      </c>
      <c r="I4" s="10">
        <f>Data!H4</f>
        <v>0.87257649026076733</v>
      </c>
      <c r="J4" s="10">
        <f>Data!I4</f>
        <v>1.67215069298846</v>
      </c>
      <c r="K4" s="10">
        <f t="shared" si="0"/>
        <v>1.6711586328975234</v>
      </c>
      <c r="L4" s="17">
        <f>Data!N4</f>
        <v>0.82130531059142098</v>
      </c>
      <c r="M4" s="15"/>
      <c r="N4" s="15">
        <f>Data!M4</f>
        <v>0.4251442551612854</v>
      </c>
      <c r="O4" s="15">
        <f>Data!O4</f>
        <v>140.52890014648438</v>
      </c>
      <c r="P4" s="17">
        <f>Data!P4</f>
        <v>0.85340000000000005</v>
      </c>
      <c r="Q4" s="17"/>
      <c r="R4" s="15"/>
      <c r="S4" s="15">
        <f t="shared" si="3"/>
        <v>0.85340000000000005</v>
      </c>
    </row>
    <row r="5" spans="1:19" x14ac:dyDescent="0.25">
      <c r="A5" s="15">
        <f>Data!A5</f>
        <v>202503</v>
      </c>
      <c r="B5" s="15">
        <v>80450</v>
      </c>
      <c r="C5" s="15">
        <f>Data!F5</f>
        <v>36406</v>
      </c>
      <c r="D5" s="15">
        <f>IF(Data!D5="Mauritius", 1, 0)</f>
        <v>1</v>
      </c>
      <c r="E5" s="15">
        <f>IF(Regression!A5&gt;201500, 1, 0)</f>
        <v>1</v>
      </c>
      <c r="F5" s="15">
        <f t="shared" si="1"/>
        <v>1</v>
      </c>
      <c r="G5" s="11">
        <f>Data!J5</f>
        <v>2.3445983881868202E-3</v>
      </c>
      <c r="H5" s="11">
        <f t="shared" si="2"/>
        <v>2.3445983881868202E-3</v>
      </c>
      <c r="I5" s="10">
        <f>Data!H5</f>
        <v>0.86159890187911203</v>
      </c>
      <c r="J5" s="10">
        <f>Data!I5</f>
        <v>1.5056713313796344</v>
      </c>
      <c r="K5" s="10">
        <f t="shared" si="0"/>
        <v>1.5041612401995521</v>
      </c>
      <c r="L5" s="17">
        <f>Data!N5</f>
        <v>1.669753854955901</v>
      </c>
      <c r="M5" s="15"/>
      <c r="N5" s="15">
        <f>Data!M5</f>
        <v>0.24915465712547302</v>
      </c>
      <c r="O5" s="15">
        <f>Data!O5</f>
        <v>171.87290954589844</v>
      </c>
      <c r="P5" s="17">
        <f>Data!P5</f>
        <v>0.93369999999999997</v>
      </c>
      <c r="Q5" s="17"/>
      <c r="R5" s="15"/>
      <c r="S5" s="15">
        <f t="shared" si="3"/>
        <v>0.93369999999999997</v>
      </c>
    </row>
    <row r="6" spans="1:19" x14ac:dyDescent="0.25">
      <c r="A6" s="15">
        <f>Data!A6</f>
        <v>202412</v>
      </c>
      <c r="B6" s="15">
        <v>80450</v>
      </c>
      <c r="C6" s="15">
        <f>Data!F6</f>
        <v>59559</v>
      </c>
      <c r="D6" s="15">
        <f>IF(Data!D6="Mauritius", 1, 0)</f>
        <v>1</v>
      </c>
      <c r="E6" s="15">
        <f>IF(Regression!A6&gt;201500, 1, 0)</f>
        <v>1</v>
      </c>
      <c r="F6" s="15">
        <f t="shared" si="1"/>
        <v>1</v>
      </c>
      <c r="G6" s="11">
        <f>Data!J6</f>
        <v>5.5486196645227357E-3</v>
      </c>
      <c r="H6" s="11">
        <f t="shared" si="2"/>
        <v>5.5486196645227357E-3</v>
      </c>
      <c r="I6" s="10">
        <f>Data!H6</f>
        <v>1.1983702213279679</v>
      </c>
      <c r="J6" s="10">
        <f>Data!I6</f>
        <v>1.2264705277446424</v>
      </c>
      <c r="K6" s="10">
        <f t="shared" si="0"/>
        <v>1.2263146098318798</v>
      </c>
      <c r="L6" s="17">
        <f>Data!N6</f>
        <v>0.85849286124753388</v>
      </c>
      <c r="M6" s="15">
        <f>Data!L6</f>
        <v>833.3</v>
      </c>
      <c r="N6" s="15">
        <f>Data!M6</f>
        <v>0.19472841918468475</v>
      </c>
      <c r="O6" s="15">
        <f>Data!O6</f>
        <v>141.9027099609375</v>
      </c>
      <c r="P6" s="17">
        <f>Data!P6</f>
        <v>0.90720000000000001</v>
      </c>
      <c r="Q6" s="17"/>
      <c r="R6" s="15"/>
      <c r="S6" s="15">
        <f t="shared" si="3"/>
        <v>0.90720000000000001</v>
      </c>
    </row>
    <row r="7" spans="1:19" x14ac:dyDescent="0.25">
      <c r="A7" s="15">
        <f>Data!A7</f>
        <v>202411</v>
      </c>
      <c r="B7" s="15">
        <v>80450</v>
      </c>
      <c r="C7" s="15">
        <f>Data!F7</f>
        <v>21515</v>
      </c>
      <c r="D7" s="15">
        <f>IF(Data!D7="Mauritius", 1, 0)</f>
        <v>1</v>
      </c>
      <c r="E7" s="15">
        <f>IF(Regression!A7&gt;201500, 1, 0)</f>
        <v>1</v>
      </c>
      <c r="F7" s="15">
        <f t="shared" si="1"/>
        <v>1</v>
      </c>
      <c r="G7" s="11">
        <f>Data!J7</f>
        <v>2.2369108484717737E-3</v>
      </c>
      <c r="H7" s="11">
        <f t="shared" si="2"/>
        <v>2.2369108484717737E-3</v>
      </c>
      <c r="I7" s="10">
        <f>Data!H7</f>
        <v>1.034076708641738</v>
      </c>
      <c r="J7" s="10">
        <f>Data!I7</f>
        <v>1.1506151515959919</v>
      </c>
      <c r="K7" s="10">
        <f t="shared" si="0"/>
        <v>1.1503544654886837</v>
      </c>
      <c r="L7" s="17">
        <f>Data!N7</f>
        <v>0.49520236968504183</v>
      </c>
      <c r="M7" s="15">
        <f>Data!L7</f>
        <v>833.3</v>
      </c>
      <c r="N7" s="15">
        <f>Data!M7</f>
        <v>0.18260814249515533</v>
      </c>
      <c r="O7" s="15">
        <f>Data!O7</f>
        <v>128.48176574707031</v>
      </c>
      <c r="P7" s="17">
        <f>Data!P7</f>
        <v>0.8296</v>
      </c>
      <c r="Q7" s="17"/>
      <c r="R7" s="15"/>
      <c r="S7" s="15">
        <f t="shared" si="3"/>
        <v>0.8296</v>
      </c>
    </row>
    <row r="8" spans="1:19" x14ac:dyDescent="0.25">
      <c r="A8" s="15">
        <f>Data!A8</f>
        <v>202410</v>
      </c>
      <c r="B8" s="15">
        <v>80450</v>
      </c>
      <c r="C8" s="15">
        <f>Data!F8</f>
        <v>19406</v>
      </c>
      <c r="D8" s="15">
        <f>IF(Data!D8="Mauritius", 1, 0)</f>
        <v>1</v>
      </c>
      <c r="E8" s="15">
        <f>IF(Regression!A8&gt;201500, 1, 0)</f>
        <v>1</v>
      </c>
      <c r="F8" s="15">
        <f t="shared" si="1"/>
        <v>1</v>
      </c>
      <c r="G8" s="11">
        <f>Data!J8</f>
        <v>1.7317842285733867E-3</v>
      </c>
      <c r="H8" s="11">
        <f t="shared" si="2"/>
        <v>1.7317842285733867E-3</v>
      </c>
      <c r="I8" s="10">
        <f>Data!H8</f>
        <v>2.5307772561293689</v>
      </c>
      <c r="J8" s="10">
        <f>Data!I8</f>
        <v>1.324516762504697</v>
      </c>
      <c r="K8" s="10">
        <f t="shared" si="0"/>
        <v>1.3266057454031075</v>
      </c>
      <c r="L8" s="17">
        <f>Data!N8</f>
        <v>0.55495547840805637</v>
      </c>
      <c r="M8" s="15">
        <f>Data!L8</f>
        <v>833.3</v>
      </c>
      <c r="N8" s="15">
        <f>Data!M8</f>
        <v>0.26585879921913147</v>
      </c>
      <c r="O8" s="15">
        <f>Data!O8</f>
        <v>130.689208984375</v>
      </c>
      <c r="P8" s="17">
        <f>Data!P8</f>
        <v>1</v>
      </c>
      <c r="Q8" s="17"/>
      <c r="R8" s="15"/>
      <c r="S8" s="15">
        <f t="shared" si="3"/>
        <v>1</v>
      </c>
    </row>
    <row r="9" spans="1:19" x14ac:dyDescent="0.25">
      <c r="A9" s="15">
        <f>Data!A9</f>
        <v>202409</v>
      </c>
      <c r="B9" s="15">
        <v>80450</v>
      </c>
      <c r="C9" s="15">
        <f>Data!F9</f>
        <v>3175</v>
      </c>
      <c r="D9" s="15">
        <f>IF(Data!D9="Mauritius", 1, 0)</f>
        <v>1</v>
      </c>
      <c r="E9" s="15">
        <f>IF(Regression!A9&gt;201500, 1, 0)</f>
        <v>1</v>
      </c>
      <c r="F9" s="15">
        <f t="shared" si="1"/>
        <v>1</v>
      </c>
      <c r="G9" s="11">
        <f>Data!J9</f>
        <v>4.2198388513319538E-4</v>
      </c>
      <c r="H9" s="11">
        <f t="shared" si="2"/>
        <v>4.2198388513319538E-4</v>
      </c>
      <c r="I9" s="10">
        <f>Data!H9</f>
        <v>2.5939542483660132</v>
      </c>
      <c r="J9" s="10">
        <f>Data!I9</f>
        <v>1.4878749011739683</v>
      </c>
      <c r="K9" s="10">
        <f t="shared" si="0"/>
        <v>1.4883416488341619</v>
      </c>
      <c r="L9" s="17">
        <f>Data!N9</f>
        <v>0.54013977054175288</v>
      </c>
      <c r="M9" s="15">
        <f>Data!L9</f>
        <v>833.3</v>
      </c>
      <c r="N9" s="15">
        <f>Data!M9</f>
        <v>0.16914969682693481</v>
      </c>
      <c r="O9" s="15">
        <f>Data!O9</f>
        <v>130.14187622070313</v>
      </c>
      <c r="P9" s="17">
        <f>Data!P9</f>
        <v>0.158</v>
      </c>
      <c r="Q9" s="17"/>
      <c r="R9" s="15"/>
      <c r="S9" s="15">
        <f t="shared" si="3"/>
        <v>0.158</v>
      </c>
    </row>
    <row r="10" spans="1:19" x14ac:dyDescent="0.25">
      <c r="A10" s="15">
        <f>Data!A10</f>
        <v>202408</v>
      </c>
      <c r="B10" s="15">
        <v>80450</v>
      </c>
      <c r="C10" s="15">
        <f>Data!F10</f>
        <v>16263</v>
      </c>
      <c r="D10" s="15">
        <f>IF(Data!D10="Mauritius", 1, 0)</f>
        <v>1</v>
      </c>
      <c r="E10" s="15">
        <f>IF(Regression!A10&gt;201500, 1, 0)</f>
        <v>1</v>
      </c>
      <c r="F10" s="15">
        <f t="shared" si="1"/>
        <v>1</v>
      </c>
      <c r="G10" s="11">
        <f>Data!J10</f>
        <v>1.6740647502675849E-3</v>
      </c>
      <c r="H10" s="11">
        <f t="shared" si="2"/>
        <v>1.6740647502675849E-3</v>
      </c>
      <c r="I10" s="10">
        <f>Data!H10</f>
        <v>2.6054149311118233</v>
      </c>
      <c r="J10" s="10">
        <f>Data!I10</f>
        <v>1.2541432962043835</v>
      </c>
      <c r="K10" s="10">
        <f t="shared" si="0"/>
        <v>1.2564054124164186</v>
      </c>
      <c r="L10" s="17">
        <f>Data!N10</f>
        <v>0.82766982808547929</v>
      </c>
      <c r="M10" s="15">
        <f>Data!L10</f>
        <v>833.3</v>
      </c>
      <c r="N10" s="15">
        <f>Data!M10</f>
        <v>0.2278769463300705</v>
      </c>
      <c r="O10" s="15">
        <f>Data!O10</f>
        <v>140.76402282714844</v>
      </c>
      <c r="P10" s="17">
        <f>Data!P10</f>
        <v>0.1081</v>
      </c>
      <c r="Q10" s="17"/>
      <c r="R10" s="15"/>
      <c r="S10" s="15">
        <f t="shared" si="3"/>
        <v>0.1081</v>
      </c>
    </row>
    <row r="11" spans="1:19" x14ac:dyDescent="0.25">
      <c r="A11" s="15">
        <f>Data!A11</f>
        <v>202407</v>
      </c>
      <c r="B11" s="15">
        <v>80450</v>
      </c>
      <c r="C11" s="15">
        <f>Data!F11</f>
        <v>4249</v>
      </c>
      <c r="D11" s="15">
        <f>IF(Data!D11="Mauritius", 1, 0)</f>
        <v>1</v>
      </c>
      <c r="E11" s="15">
        <f>IF(Regression!A11&gt;201500, 1, 0)</f>
        <v>1</v>
      </c>
      <c r="F11" s="15">
        <f t="shared" si="1"/>
        <v>1</v>
      </c>
      <c r="G11" s="11">
        <f>Data!J11</f>
        <v>4.6806613557482188E-4</v>
      </c>
      <c r="H11" s="11">
        <f t="shared" si="2"/>
        <v>4.6806613557482188E-4</v>
      </c>
      <c r="I11" s="10">
        <f>Data!H11</f>
        <v>3.2116402116402116</v>
      </c>
      <c r="J11" s="10">
        <f>Data!I11</f>
        <v>0.97456241577176606</v>
      </c>
      <c r="K11" s="10">
        <f t="shared" si="0"/>
        <v>0.97560951613065849</v>
      </c>
      <c r="L11" s="17">
        <f>Data!N11</f>
        <v>-0.48163087131253529</v>
      </c>
      <c r="M11" s="15">
        <f>Data!L11</f>
        <v>833.3</v>
      </c>
      <c r="N11" s="15">
        <f>Data!M11</f>
        <v>0.16011823713779449</v>
      </c>
      <c r="O11" s="15">
        <f>Data!O11</f>
        <v>92.394874572753906</v>
      </c>
      <c r="P11" s="17">
        <f>Data!P11</f>
        <v>4.1000000000000003E-3</v>
      </c>
      <c r="Q11" s="17"/>
      <c r="R11" s="15"/>
      <c r="S11" s="15">
        <f t="shared" si="3"/>
        <v>4.1000000000000003E-3</v>
      </c>
    </row>
    <row r="12" spans="1:19" x14ac:dyDescent="0.25">
      <c r="A12" s="15">
        <f>Data!A12</f>
        <v>202406</v>
      </c>
      <c r="B12" s="15">
        <v>80450</v>
      </c>
      <c r="C12" s="15">
        <f>Data!F12</f>
        <v>6520</v>
      </c>
      <c r="D12" s="15">
        <f>IF(Data!D12="Mauritius", 1, 0)</f>
        <v>1</v>
      </c>
      <c r="E12" s="15">
        <f>IF(Regression!A12&gt;201500, 1, 0)</f>
        <v>1</v>
      </c>
      <c r="F12" s="15">
        <f t="shared" si="1"/>
        <v>1</v>
      </c>
      <c r="G12" s="11">
        <f>Data!J12</f>
        <v>4.5326100437077083E-4</v>
      </c>
      <c r="H12" s="11">
        <f t="shared" si="2"/>
        <v>4.5326100437077083E-4</v>
      </c>
      <c r="I12" s="10">
        <f>Data!H12</f>
        <v>3.2453957192633149</v>
      </c>
      <c r="J12" s="10">
        <f>Data!I12</f>
        <v>1.6192706135885626</v>
      </c>
      <c r="K12" s="10">
        <f t="shared" si="0"/>
        <v>1.6200076726871933</v>
      </c>
      <c r="L12" s="17">
        <f>Data!N12</f>
        <v>7.2917521988060438E-2</v>
      </c>
      <c r="M12" s="15">
        <f>Data!L12</f>
        <v>833.3</v>
      </c>
      <c r="N12" s="15">
        <f>Data!M12</f>
        <v>0.19021050631999969</v>
      </c>
      <c r="O12" s="15">
        <f>Data!O12</f>
        <v>112.88140869140625</v>
      </c>
      <c r="P12" s="17">
        <f>Data!P12</f>
        <v>0.49130000000000001</v>
      </c>
      <c r="Q12" s="17"/>
      <c r="R12" s="15"/>
      <c r="S12" s="15">
        <f t="shared" si="3"/>
        <v>0.49130000000000001</v>
      </c>
    </row>
    <row r="13" spans="1:19" x14ac:dyDescent="0.25">
      <c r="A13" s="15">
        <f>Data!A13</f>
        <v>202405</v>
      </c>
      <c r="B13" s="15">
        <v>80450</v>
      </c>
      <c r="C13" s="15">
        <f>Data!F13</f>
        <v>16333</v>
      </c>
      <c r="D13" s="15">
        <f>IF(Data!D13="Mauritius", 1, 0)</f>
        <v>1</v>
      </c>
      <c r="E13" s="15">
        <f>IF(Regression!A13&gt;201500, 1, 0)</f>
        <v>1</v>
      </c>
      <c r="F13" s="15">
        <f t="shared" si="1"/>
        <v>1</v>
      </c>
      <c r="G13" s="11">
        <f>Data!J13</f>
        <v>5.588850003006064E-4</v>
      </c>
      <c r="H13" s="11">
        <f t="shared" si="2"/>
        <v>5.588850003006064E-4</v>
      </c>
      <c r="I13" s="10">
        <f>Data!H13</f>
        <v>2.8979772888573456</v>
      </c>
      <c r="J13" s="10">
        <f>Data!I13</f>
        <v>1.7477124868596796</v>
      </c>
      <c r="K13" s="10">
        <f t="shared" si="0"/>
        <v>1.7483553526038897</v>
      </c>
      <c r="L13" s="17">
        <f>Data!N13</f>
        <v>0.55042568002027403</v>
      </c>
      <c r="M13" s="15">
        <f>Data!L13</f>
        <v>833.3</v>
      </c>
      <c r="N13" s="15">
        <f>Data!M13</f>
        <v>0.13457304239273071</v>
      </c>
      <c r="O13" s="15">
        <f>Data!O13</f>
        <v>130.52186584472656</v>
      </c>
      <c r="P13" s="17">
        <f>Data!P13</f>
        <v>0.67620000000000002</v>
      </c>
      <c r="Q13" s="17"/>
      <c r="R13" s="15"/>
      <c r="S13" s="15">
        <f t="shared" si="3"/>
        <v>0.67620000000000002</v>
      </c>
    </row>
    <row r="14" spans="1:19" x14ac:dyDescent="0.25">
      <c r="A14" s="15">
        <f>Data!A14</f>
        <v>202311</v>
      </c>
      <c r="B14" s="15">
        <v>80450</v>
      </c>
      <c r="C14" s="15">
        <f>Data!F14</f>
        <v>6290</v>
      </c>
      <c r="D14" s="15">
        <f>IF(Data!D14="Mauritius", 1, 0)</f>
        <v>1</v>
      </c>
      <c r="E14" s="15">
        <f>IF(Regression!A14&gt;201500, 1, 0)</f>
        <v>1</v>
      </c>
      <c r="F14" s="15">
        <f t="shared" si="1"/>
        <v>1</v>
      </c>
      <c r="G14" s="11">
        <f>Data!J14</f>
        <v>1.4863876196435693E-3</v>
      </c>
      <c r="H14" s="11">
        <f t="shared" si="2"/>
        <v>1.4863876196435693E-3</v>
      </c>
      <c r="I14" s="10">
        <f>Data!H14</f>
        <v>2.4666666666666668</v>
      </c>
      <c r="J14" s="10">
        <f>Data!I14</f>
        <v>1.2431353759588117</v>
      </c>
      <c r="K14" s="10">
        <f t="shared" si="0"/>
        <v>1.2449540177215663</v>
      </c>
      <c r="L14" s="17">
        <f>Data!N14</f>
        <v>1.2589349690757188</v>
      </c>
      <c r="M14" s="15">
        <f>Data!L14</f>
        <v>825.6</v>
      </c>
      <c r="N14" s="15">
        <f>Data!M14</f>
        <v>0.25032857060432434</v>
      </c>
      <c r="O14" s="15">
        <f>Data!O14</f>
        <v>156.69613647460938</v>
      </c>
      <c r="P14" s="17">
        <f>Data!P14</f>
        <v>0.77100000000000002</v>
      </c>
      <c r="Q14" s="17">
        <f>Data!R14</f>
        <v>-0.64</v>
      </c>
      <c r="R14" s="15">
        <f>Data!Q14</f>
        <v>0.78</v>
      </c>
      <c r="S14" s="15">
        <f t="shared" si="3"/>
        <v>0.77100000000000002</v>
      </c>
    </row>
    <row r="15" spans="1:19" x14ac:dyDescent="0.25">
      <c r="A15" s="15">
        <f>Data!A15</f>
        <v>202310</v>
      </c>
      <c r="B15" s="15">
        <v>80450</v>
      </c>
      <c r="C15" s="15">
        <f>Data!F15</f>
        <v>3177</v>
      </c>
      <c r="D15" s="15">
        <f>IF(Data!D15="Mauritius", 1, 0)</f>
        <v>1</v>
      </c>
      <c r="E15" s="15">
        <f>IF(Regression!A15&gt;201500, 1, 0)</f>
        <v>1</v>
      </c>
      <c r="F15" s="15">
        <f t="shared" si="1"/>
        <v>1</v>
      </c>
      <c r="G15" s="11">
        <f>Data!J15</f>
        <v>4.1250584772808214E-4</v>
      </c>
      <c r="H15" s="11">
        <f t="shared" si="2"/>
        <v>4.1250584772808214E-4</v>
      </c>
      <c r="I15" s="10">
        <f>Data!H15</f>
        <v>2.5955882352941178</v>
      </c>
      <c r="J15" s="10">
        <f>Data!I15</f>
        <v>1.2663608343959361</v>
      </c>
      <c r="K15" s="10">
        <f t="shared" si="0"/>
        <v>1.2669091484717669</v>
      </c>
      <c r="L15" s="17">
        <f>Data!N15</f>
        <v>2.3739274739396259</v>
      </c>
      <c r="M15" s="15">
        <f>Data!L15</f>
        <v>825.6</v>
      </c>
      <c r="N15" s="15">
        <f>Data!M15</f>
        <v>0.22093509137630463</v>
      </c>
      <c r="O15" s="15">
        <f>Data!O15</f>
        <v>197.88700866699219</v>
      </c>
      <c r="P15" s="17">
        <f>Data!P15</f>
        <v>0.40670000000000001</v>
      </c>
      <c r="Q15" s="17">
        <f>Data!R15</f>
        <v>-0.64</v>
      </c>
      <c r="R15" s="15">
        <f>Data!Q15</f>
        <v>0.78</v>
      </c>
      <c r="S15" s="15">
        <f t="shared" si="3"/>
        <v>0.40670000000000001</v>
      </c>
    </row>
    <row r="16" spans="1:19" x14ac:dyDescent="0.25">
      <c r="A16" s="15">
        <f>Data!A16</f>
        <v>202309</v>
      </c>
      <c r="B16" s="15">
        <v>80450</v>
      </c>
      <c r="C16" s="15">
        <f>Data!F16</f>
        <v>2504</v>
      </c>
      <c r="D16" s="15">
        <f>IF(Data!D16="Mauritius", 1, 0)</f>
        <v>1</v>
      </c>
      <c r="E16" s="15">
        <f>IF(Regression!A16&gt;201500, 1, 0)</f>
        <v>1</v>
      </c>
      <c r="F16" s="15">
        <f t="shared" si="1"/>
        <v>1</v>
      </c>
      <c r="G16" s="11">
        <f>Data!J16</f>
        <v>2.8526419064032696E-4</v>
      </c>
      <c r="H16" s="11">
        <f t="shared" si="2"/>
        <v>2.8526419064032696E-4</v>
      </c>
      <c r="I16" s="10">
        <f>Data!H16</f>
        <v>2.3380018674136323</v>
      </c>
      <c r="J16" s="10">
        <f>Data!I16</f>
        <v>1.1297711338462666</v>
      </c>
      <c r="K16" s="10">
        <f t="shared" si="0"/>
        <v>1.1301157988085844</v>
      </c>
      <c r="L16" s="17">
        <f>Data!N16</f>
        <v>-0.31272250825984238</v>
      </c>
      <c r="M16" s="15">
        <f>Data!L16</f>
        <v>825.6</v>
      </c>
      <c r="N16" s="15">
        <f>Data!M16</f>
        <v>0.45979791879653931</v>
      </c>
      <c r="O16" s="15">
        <f>Data!O16</f>
        <v>98.634811401367188</v>
      </c>
      <c r="P16" s="17">
        <f>Data!P16</f>
        <v>7.8E-2</v>
      </c>
      <c r="Q16" s="17">
        <f>Data!R16</f>
        <v>-0.64</v>
      </c>
      <c r="R16" s="15">
        <f>Data!Q16</f>
        <v>0.78</v>
      </c>
      <c r="S16" s="15">
        <f t="shared" si="3"/>
        <v>7.8E-2</v>
      </c>
    </row>
    <row r="17" spans="1:19" x14ac:dyDescent="0.25">
      <c r="A17" s="15">
        <f>Data!A17</f>
        <v>202307</v>
      </c>
      <c r="B17" s="15">
        <v>80450</v>
      </c>
      <c r="C17" s="15">
        <f>Data!F17</f>
        <v>4317</v>
      </c>
      <c r="D17" s="15">
        <f>IF(Data!D17="Mauritius", 1, 0)</f>
        <v>1</v>
      </c>
      <c r="E17" s="15">
        <f>IF(Regression!A17&gt;201500, 1, 0)</f>
        <v>1</v>
      </c>
      <c r="F17" s="15">
        <f t="shared" si="1"/>
        <v>1</v>
      </c>
      <c r="G17" s="11">
        <f>Data!J17</f>
        <v>2.8265037399286571E-4</v>
      </c>
      <c r="H17" s="11">
        <f t="shared" si="2"/>
        <v>2.8265037399286571E-4</v>
      </c>
      <c r="I17" s="10">
        <f>Data!H17</f>
        <v>3.806878306878307</v>
      </c>
      <c r="J17" s="10">
        <f>Data!I17</f>
        <v>1.0581756376544122</v>
      </c>
      <c r="K17" s="10">
        <f t="shared" si="0"/>
        <v>1.0589525594918636</v>
      </c>
      <c r="L17" s="17">
        <f>Data!N17</f>
        <v>-7.4137775221577343E-2</v>
      </c>
      <c r="M17" s="15">
        <f>Data!L17</f>
        <v>825.6</v>
      </c>
      <c r="N17" s="15">
        <f>Data!M17</f>
        <v>0.21112766861915588</v>
      </c>
      <c r="O17" s="15">
        <f>Data!O17</f>
        <v>107.44878387451172</v>
      </c>
      <c r="P17" s="17">
        <f>Data!P17</f>
        <v>9.5699999999999993E-2</v>
      </c>
      <c r="Q17" s="17">
        <f>Data!R17</f>
        <v>-0.64</v>
      </c>
      <c r="R17" s="15">
        <f>Data!Q17</f>
        <v>0.78</v>
      </c>
      <c r="S17" s="15">
        <f t="shared" si="3"/>
        <v>9.5699999999999993E-2</v>
      </c>
    </row>
    <row r="18" spans="1:19" x14ac:dyDescent="0.25">
      <c r="A18" s="15">
        <f>Data!A18</f>
        <v>202306</v>
      </c>
      <c r="B18" s="15">
        <v>80450</v>
      </c>
      <c r="C18" s="15">
        <f>Data!F18</f>
        <v>12727</v>
      </c>
      <c r="D18" s="15">
        <f>IF(Data!D18="Mauritius", 1, 0)</f>
        <v>1</v>
      </c>
      <c r="E18" s="15">
        <f>IF(Regression!A18&gt;201500, 1, 0)</f>
        <v>1</v>
      </c>
      <c r="F18" s="15">
        <f t="shared" si="1"/>
        <v>1</v>
      </c>
      <c r="G18" s="11">
        <f>Data!J18</f>
        <v>7.1689037548055797E-4</v>
      </c>
      <c r="H18" s="11">
        <f t="shared" si="2"/>
        <v>7.1689037548055797E-4</v>
      </c>
      <c r="I18" s="10">
        <f>Data!H18</f>
        <v>3.7934426229508196</v>
      </c>
      <c r="J18" s="10">
        <f>Data!I18</f>
        <v>1.5452009942240343</v>
      </c>
      <c r="K18" s="10">
        <f t="shared" si="0"/>
        <v>1.5468127370094236</v>
      </c>
      <c r="L18" s="17">
        <f>Data!N18</f>
        <v>9.2388908908795173E-3</v>
      </c>
      <c r="M18" s="15">
        <f>Data!L18</f>
        <v>825.6</v>
      </c>
      <c r="N18" s="15">
        <f>Data!M18</f>
        <v>0.26301303505897522</v>
      </c>
      <c r="O18" s="15">
        <f>Data!O18</f>
        <v>110.52894592285156</v>
      </c>
      <c r="P18" s="17">
        <f>Data!P18</f>
        <v>0.61199999999999999</v>
      </c>
      <c r="Q18" s="17">
        <f>Data!R18</f>
        <v>-0.64</v>
      </c>
      <c r="R18" s="15">
        <f>Data!Q18</f>
        <v>0.78</v>
      </c>
      <c r="S18" s="15">
        <f t="shared" si="3"/>
        <v>0.61199999999999999</v>
      </c>
    </row>
    <row r="19" spans="1:19" x14ac:dyDescent="0.25">
      <c r="A19" s="15">
        <f>Data!A19</f>
        <v>202305</v>
      </c>
      <c r="B19" s="15">
        <v>80450</v>
      </c>
      <c r="C19" s="15">
        <f>Data!F19</f>
        <v>25971</v>
      </c>
      <c r="D19" s="15">
        <f>IF(Data!D19="Mauritius", 1, 0)</f>
        <v>1</v>
      </c>
      <c r="E19" s="15">
        <f>IF(Regression!A19&gt;201500, 1, 0)</f>
        <v>1</v>
      </c>
      <c r="F19" s="15">
        <f t="shared" si="1"/>
        <v>1</v>
      </c>
      <c r="G19" s="11">
        <f>Data!J19</f>
        <v>9.7985463244755163E-4</v>
      </c>
      <c r="H19" s="11">
        <f t="shared" si="2"/>
        <v>9.7985463244755163E-4</v>
      </c>
      <c r="I19" s="10">
        <f>Data!H19</f>
        <v>4.2408556499020245</v>
      </c>
      <c r="J19" s="10">
        <f>Data!I19</f>
        <v>1.6160682041160335</v>
      </c>
      <c r="K19" s="10">
        <f t="shared" si="0"/>
        <v>1.618640114253977</v>
      </c>
      <c r="L19" s="17">
        <f>Data!N19</f>
        <v>-4.6557304496222335E-2</v>
      </c>
      <c r="M19" s="15">
        <f>Data!L19</f>
        <v>825.6</v>
      </c>
      <c r="N19" s="15">
        <f>Data!M19</f>
        <v>0.31503695249557495</v>
      </c>
      <c r="O19" s="15">
        <f>Data!O19</f>
        <v>108.46768188476563</v>
      </c>
      <c r="P19" s="17">
        <f>Data!P19</f>
        <v>1</v>
      </c>
      <c r="Q19" s="17">
        <f>Data!R19</f>
        <v>-0.64</v>
      </c>
      <c r="R19" s="15">
        <f>Data!Q19</f>
        <v>0.78</v>
      </c>
      <c r="S19" s="15">
        <f t="shared" si="3"/>
        <v>1</v>
      </c>
    </row>
    <row r="20" spans="1:19" x14ac:dyDescent="0.25">
      <c r="A20" s="15">
        <f>Data!A20</f>
        <v>202304</v>
      </c>
      <c r="B20" s="15">
        <v>80450</v>
      </c>
      <c r="C20" s="15">
        <f>Data!F20</f>
        <v>421</v>
      </c>
      <c r="D20" s="15">
        <f>IF(Data!D20="Mauritius", 1, 0)</f>
        <v>1</v>
      </c>
      <c r="E20" s="15">
        <f>IF(Regression!A20&gt;201500, 1, 0)</f>
        <v>1</v>
      </c>
      <c r="F20" s="15">
        <f t="shared" si="1"/>
        <v>1</v>
      </c>
      <c r="G20" s="11">
        <f>Data!J20</f>
        <v>2.225744526082686E-5</v>
      </c>
      <c r="H20" s="11">
        <f t="shared" si="2"/>
        <v>2.225744526082686E-5</v>
      </c>
      <c r="I20" s="10">
        <f>Data!H20</f>
        <v>2.8445945945945947</v>
      </c>
      <c r="J20" s="10">
        <f>Data!I20</f>
        <v>1.7850798991145389</v>
      </c>
      <c r="K20" s="10">
        <f t="shared" si="0"/>
        <v>1.7851034812048765</v>
      </c>
      <c r="L20" s="17">
        <f>Data!N20</f>
        <v>-9.1438325533481135E-2</v>
      </c>
      <c r="M20" s="15">
        <f>Data!L20</f>
        <v>825.6</v>
      </c>
      <c r="N20" s="15">
        <f>Data!M20</f>
        <v>0.24643319845199585</v>
      </c>
      <c r="O20" s="15">
        <f>Data!O20</f>
        <v>106.80965423583984</v>
      </c>
      <c r="P20" s="17">
        <f>Data!P20</f>
        <v>0.10390000000000001</v>
      </c>
      <c r="Q20" s="17">
        <f>Data!R20</f>
        <v>-0.64</v>
      </c>
      <c r="R20" s="15">
        <f>Data!Q20</f>
        <v>0.78</v>
      </c>
      <c r="S20" s="15">
        <f t="shared" si="3"/>
        <v>0.10390000000000001</v>
      </c>
    </row>
    <row r="21" spans="1:19" x14ac:dyDescent="0.25">
      <c r="A21" s="15">
        <f>Data!A21</f>
        <v>202303</v>
      </c>
      <c r="B21" s="15">
        <v>80450</v>
      </c>
      <c r="C21" s="15">
        <f>Data!F21</f>
        <v>3986</v>
      </c>
      <c r="D21" s="15">
        <f>IF(Data!D21="Mauritius", 1, 0)</f>
        <v>1</v>
      </c>
      <c r="E21" s="15">
        <f>IF(Regression!A21&gt;201500, 1, 0)</f>
        <v>1</v>
      </c>
      <c r="F21" s="15">
        <f t="shared" si="1"/>
        <v>1</v>
      </c>
      <c r="G21" s="11">
        <f>Data!J21</f>
        <v>2.438945890767776E-4</v>
      </c>
      <c r="H21" s="11">
        <f t="shared" si="2"/>
        <v>2.438945890767776E-4</v>
      </c>
      <c r="I21" s="10">
        <f>Data!H21</f>
        <v>2.6052287581699347</v>
      </c>
      <c r="J21" s="10">
        <f>Data!I21</f>
        <v>1.6928368476457547</v>
      </c>
      <c r="K21" s="10">
        <f t="shared" si="0"/>
        <v>1.6930593750958489</v>
      </c>
      <c r="L21" s="17">
        <f>Data!N21</f>
        <v>-0.1301382183795152</v>
      </c>
      <c r="M21" s="15">
        <f>Data!L21</f>
        <v>825.6</v>
      </c>
      <c r="N21" s="15">
        <f>Data!M21</f>
        <v>0.30663993954658508</v>
      </c>
      <c r="O21" s="15">
        <f>Data!O21</f>
        <v>105.37997436523438</v>
      </c>
      <c r="P21" s="17">
        <f>Data!P21</f>
        <v>0.75090000000000001</v>
      </c>
      <c r="Q21" s="17">
        <f>Data!R21</f>
        <v>-0.64</v>
      </c>
      <c r="R21" s="15">
        <f>Data!Q21</f>
        <v>0.78</v>
      </c>
      <c r="S21" s="15">
        <f t="shared" si="3"/>
        <v>0.75090000000000001</v>
      </c>
    </row>
    <row r="22" spans="1:19" x14ac:dyDescent="0.25">
      <c r="A22" s="15">
        <f>Data!A22</f>
        <v>202302</v>
      </c>
      <c r="B22" s="15">
        <v>80450</v>
      </c>
      <c r="C22" s="15">
        <f>Data!F22</f>
        <v>17032</v>
      </c>
      <c r="D22" s="15">
        <f>IF(Data!D22="Mauritius", 1, 0)</f>
        <v>1</v>
      </c>
      <c r="E22" s="15">
        <f>IF(Regression!A22&gt;201500, 1, 0)</f>
        <v>1</v>
      </c>
      <c r="F22" s="15">
        <f t="shared" si="1"/>
        <v>1</v>
      </c>
      <c r="G22" s="11">
        <f>Data!J22</f>
        <v>1.7104201967766534E-3</v>
      </c>
      <c r="H22" s="11">
        <f t="shared" si="2"/>
        <v>1.7104201967766534E-3</v>
      </c>
      <c r="I22" s="10">
        <f>Data!H22</f>
        <v>3.0501432664756445</v>
      </c>
      <c r="J22" s="10">
        <f>Data!I22</f>
        <v>1.3625964873870238</v>
      </c>
      <c r="K22" s="10">
        <f t="shared" si="0"/>
        <v>1.3654829014809824</v>
      </c>
      <c r="L22" s="17">
        <f>Data!N22</f>
        <v>0.29252683168966953</v>
      </c>
      <c r="M22" s="15">
        <f>Data!L22</f>
        <v>825.6</v>
      </c>
      <c r="N22" s="15">
        <f>Data!M22</f>
        <v>0.29352903366088867</v>
      </c>
      <c r="O22" s="15">
        <f>Data!O22</f>
        <v>120.99437713623047</v>
      </c>
      <c r="P22" s="17">
        <f>Data!P22</f>
        <v>0.88739999999999997</v>
      </c>
      <c r="Q22" s="17">
        <f>Data!R22</f>
        <v>-0.64</v>
      </c>
      <c r="R22" s="15">
        <f>Data!Q22</f>
        <v>0.78</v>
      </c>
      <c r="S22" s="15">
        <f t="shared" si="3"/>
        <v>0.88739999999999997</v>
      </c>
    </row>
    <row r="23" spans="1:19" x14ac:dyDescent="0.25">
      <c r="A23" s="15">
        <f>Data!A23</f>
        <v>202211</v>
      </c>
      <c r="B23" s="15">
        <v>80450</v>
      </c>
      <c r="C23" s="15">
        <f>Data!F23</f>
        <v>4549</v>
      </c>
      <c r="D23" s="15">
        <f>IF(Data!D23="Mauritius", 1, 0)</f>
        <v>1</v>
      </c>
      <c r="E23" s="15">
        <f>IF(Regression!A23&gt;201500, 1, 0)</f>
        <v>1</v>
      </c>
      <c r="F23" s="15">
        <f t="shared" si="1"/>
        <v>1</v>
      </c>
      <c r="G23" s="11">
        <f>Data!J23</f>
        <v>2.8359254714546863E-4</v>
      </c>
      <c r="H23" s="11">
        <f t="shared" si="2"/>
        <v>2.8359254714546863E-4</v>
      </c>
      <c r="I23" s="10">
        <f>Data!H23</f>
        <v>2.4709397066811514</v>
      </c>
      <c r="J23" s="10">
        <f>Data!I23</f>
        <v>1.3706627120642716</v>
      </c>
      <c r="K23" s="10">
        <f t="shared" si="0"/>
        <v>1.3709747424197405</v>
      </c>
      <c r="L23" s="17">
        <f>Data!N23</f>
        <v>0.17672350861279046</v>
      </c>
      <c r="M23" s="15">
        <f>Data!L23</f>
        <v>843.6</v>
      </c>
      <c r="N23" s="15">
        <f>Data!M23</f>
        <v>0.29648211598396301</v>
      </c>
      <c r="O23" s="15">
        <f>Data!O23</f>
        <v>116.71628570556641</v>
      </c>
      <c r="P23" s="17">
        <f>Data!P23</f>
        <v>0.90920000000000001</v>
      </c>
      <c r="Q23" s="17">
        <f>Data!R23</f>
        <v>-0.62</v>
      </c>
      <c r="R23" s="15">
        <f>Data!Q23</f>
        <v>0.83</v>
      </c>
      <c r="S23" s="15">
        <f t="shared" si="3"/>
        <v>0.90920000000000001</v>
      </c>
    </row>
    <row r="24" spans="1:19" x14ac:dyDescent="0.25">
      <c r="A24" s="15">
        <f>Data!A24</f>
        <v>202210</v>
      </c>
      <c r="B24" s="15">
        <v>80450</v>
      </c>
      <c r="C24" s="15">
        <f>Data!F24</f>
        <v>23</v>
      </c>
      <c r="D24" s="15">
        <f>IF(Data!D24="Mauritius", 1, 0)</f>
        <v>1</v>
      </c>
      <c r="E24" s="15">
        <f>IF(Regression!A24&gt;201500, 1, 0)</f>
        <v>1</v>
      </c>
      <c r="F24" s="15">
        <f t="shared" si="1"/>
        <v>1</v>
      </c>
      <c r="G24" s="11">
        <f>Data!J24</f>
        <v>1.3518735144820331E-6</v>
      </c>
      <c r="H24" s="11">
        <f t="shared" si="2"/>
        <v>1.3518735144820331E-6</v>
      </c>
      <c r="I24" s="10">
        <f>Data!H24</f>
        <v>2.5555555555555554</v>
      </c>
      <c r="J24" s="10">
        <f>Data!I24</f>
        <v>1.3232738622972526</v>
      </c>
      <c r="K24" s="10">
        <f t="shared" si="0"/>
        <v>1.3232755281862363</v>
      </c>
      <c r="L24" s="17">
        <f>Data!N24</f>
        <v>0.89259170648340103</v>
      </c>
      <c r="M24" s="15">
        <f>Data!L24</f>
        <v>843.6</v>
      </c>
      <c r="N24" s="15">
        <f>Data!M24</f>
        <v>0.30671361088752747</v>
      </c>
      <c r="O24" s="15">
        <f>Data!O24</f>
        <v>143.16241455078125</v>
      </c>
      <c r="P24" s="17">
        <f>Data!P24</f>
        <v>1.5E-3</v>
      </c>
      <c r="Q24" s="17">
        <f>Data!R24</f>
        <v>-0.62</v>
      </c>
      <c r="R24" s="15">
        <f>Data!Q24</f>
        <v>0.83</v>
      </c>
      <c r="S24" s="15">
        <f t="shared" si="3"/>
        <v>1.5E-3</v>
      </c>
    </row>
    <row r="25" spans="1:19" x14ac:dyDescent="0.25">
      <c r="A25" s="15">
        <f>Data!A25</f>
        <v>202209</v>
      </c>
      <c r="B25" s="15">
        <v>80450</v>
      </c>
      <c r="C25" s="15">
        <f>Data!F25</f>
        <v>39448</v>
      </c>
      <c r="D25" s="15">
        <f>IF(Data!D25="Mauritius", 1, 0)</f>
        <v>1</v>
      </c>
      <c r="E25" s="15">
        <f>IF(Regression!A25&gt;201500, 1, 0)</f>
        <v>1</v>
      </c>
      <c r="F25" s="15">
        <f t="shared" si="1"/>
        <v>1</v>
      </c>
      <c r="G25" s="11">
        <f>Data!J25</f>
        <v>1.5017902856919222E-3</v>
      </c>
      <c r="H25" s="11">
        <f t="shared" si="2"/>
        <v>1.5017902856919222E-3</v>
      </c>
      <c r="I25" s="10">
        <f>Data!H25</f>
        <v>1.731694468832309</v>
      </c>
      <c r="J25" s="10">
        <f>Data!I25</f>
        <v>1.3487114818036277</v>
      </c>
      <c r="K25" s="10">
        <f t="shared" si="0"/>
        <v>1.3492866419331326</v>
      </c>
      <c r="L25" s="17">
        <f>Data!N25</f>
        <v>0.59005470403010096</v>
      </c>
      <c r="M25" s="15">
        <f>Data!L25</f>
        <v>843.6</v>
      </c>
      <c r="N25" s="15">
        <f>Data!M25</f>
        <v>0.50662738084793091</v>
      </c>
      <c r="O25" s="15">
        <f>Data!O25</f>
        <v>131.98587036132813</v>
      </c>
      <c r="P25" s="17">
        <f>Data!P25</f>
        <v>0.84560000000000002</v>
      </c>
      <c r="Q25" s="17">
        <f>Data!R25</f>
        <v>-0.62</v>
      </c>
      <c r="R25" s="15">
        <f>Data!Q25</f>
        <v>0.83</v>
      </c>
      <c r="S25" s="15">
        <f t="shared" si="3"/>
        <v>0.84560000000000002</v>
      </c>
    </row>
    <row r="26" spans="1:19" x14ac:dyDescent="0.25">
      <c r="A26" s="15">
        <f>Data!A26</f>
        <v>202208</v>
      </c>
      <c r="B26" s="15">
        <v>80450</v>
      </c>
      <c r="C26" s="15">
        <f>Data!F26</f>
        <v>30950</v>
      </c>
      <c r="D26" s="15">
        <f>IF(Data!D26="Mauritius", 1, 0)</f>
        <v>1</v>
      </c>
      <c r="E26" s="15">
        <f>IF(Regression!A26&gt;201500, 1, 0)</f>
        <v>1</v>
      </c>
      <c r="F26" s="15">
        <f t="shared" si="1"/>
        <v>1</v>
      </c>
      <c r="G26" s="11">
        <f>Data!J26</f>
        <v>1.1196393422815247E-3</v>
      </c>
      <c r="H26" s="11">
        <f t="shared" si="2"/>
        <v>1.1196393422815247E-3</v>
      </c>
      <c r="I26" s="10">
        <f>Data!H26</f>
        <v>1.2627498980008161</v>
      </c>
      <c r="J26" s="10">
        <f>Data!I26</f>
        <v>1.2977325009604068</v>
      </c>
      <c r="K26" s="10">
        <f t="shared" si="0"/>
        <v>1.2976933330618379</v>
      </c>
      <c r="L26" s="17">
        <f>Data!N26</f>
        <v>0.61380361874704326</v>
      </c>
      <c r="M26" s="15">
        <f>Data!L26</f>
        <v>843.6</v>
      </c>
      <c r="N26" s="15">
        <f>Data!M26</f>
        <v>0.24869729578495026</v>
      </c>
      <c r="O26" s="15">
        <f>Data!O26</f>
        <v>132.86322021484375</v>
      </c>
      <c r="P26" s="17">
        <f>Data!P26</f>
        <v>0.52600000000000002</v>
      </c>
      <c r="Q26" s="17">
        <f>Data!R26</f>
        <v>-0.62</v>
      </c>
      <c r="R26" s="15">
        <f>Data!Q26</f>
        <v>0.83</v>
      </c>
      <c r="S26" s="15">
        <f t="shared" si="3"/>
        <v>0.52600000000000002</v>
      </c>
    </row>
    <row r="27" spans="1:19" x14ac:dyDescent="0.25">
      <c r="A27" s="15">
        <f>Data!A27</f>
        <v>202207</v>
      </c>
      <c r="B27" s="15">
        <v>80450</v>
      </c>
      <c r="C27" s="15">
        <f>Data!F27</f>
        <v>30555</v>
      </c>
      <c r="D27" s="15">
        <f>IF(Data!D27="Mauritius", 1, 0)</f>
        <v>1</v>
      </c>
      <c r="E27" s="15">
        <f>IF(Regression!A27&gt;201500, 1, 0)</f>
        <v>1</v>
      </c>
      <c r="F27" s="15">
        <f t="shared" si="1"/>
        <v>1</v>
      </c>
      <c r="G27" s="11">
        <f>Data!J27</f>
        <v>1.4956605285763676E-3</v>
      </c>
      <c r="H27" s="11">
        <f t="shared" si="2"/>
        <v>1.4956605285763676E-3</v>
      </c>
      <c r="I27" s="10">
        <f>Data!H27</f>
        <v>1.3534883720930233</v>
      </c>
      <c r="J27" s="10">
        <f>Data!I27</f>
        <v>1.1014206687475789</v>
      </c>
      <c r="K27" s="10">
        <f t="shared" si="0"/>
        <v>1.1017976764620014</v>
      </c>
      <c r="L27" s="17">
        <f>Data!N27</f>
        <v>0.18918819865988573</v>
      </c>
      <c r="M27" s="15">
        <f>Data!L27</f>
        <v>843.6</v>
      </c>
      <c r="N27" s="15">
        <f>Data!M27</f>
        <v>0.27303358912467957</v>
      </c>
      <c r="O27" s="15">
        <f>Data!O27</f>
        <v>117.17676544189453</v>
      </c>
      <c r="P27" s="17">
        <f>Data!P27</f>
        <v>0.9123</v>
      </c>
      <c r="Q27" s="17">
        <f>Data!R27</f>
        <v>-0.62</v>
      </c>
      <c r="R27" s="15">
        <f>Data!Q27</f>
        <v>0.83</v>
      </c>
      <c r="S27" s="15">
        <f t="shared" si="3"/>
        <v>0.9123</v>
      </c>
    </row>
    <row r="28" spans="1:19" x14ac:dyDescent="0.25">
      <c r="A28" s="15">
        <f>Data!A28</f>
        <v>202206</v>
      </c>
      <c r="B28" s="15">
        <v>80450</v>
      </c>
      <c r="C28" s="15">
        <f>Data!F28</f>
        <v>12522</v>
      </c>
      <c r="D28" s="15">
        <f>IF(Data!D28="Mauritius", 1, 0)</f>
        <v>1</v>
      </c>
      <c r="E28" s="15">
        <f>IF(Regression!A28&gt;201500, 1, 0)</f>
        <v>1</v>
      </c>
      <c r="F28" s="15">
        <f t="shared" si="1"/>
        <v>1</v>
      </c>
      <c r="G28" s="11">
        <f>Data!J28</f>
        <v>7.0520150026240911E-4</v>
      </c>
      <c r="H28" s="11">
        <f t="shared" si="2"/>
        <v>7.0520150026240911E-4</v>
      </c>
      <c r="I28" s="10">
        <f>Data!H28</f>
        <v>1.2577340297308155</v>
      </c>
      <c r="J28" s="10">
        <f>Data!I28</f>
        <v>1.2150251758477455</v>
      </c>
      <c r="K28" s="10">
        <f t="shared" si="0"/>
        <v>1.2150552941955783</v>
      </c>
      <c r="L28" s="17">
        <f>Data!N28</f>
        <v>0.55544575566585686</v>
      </c>
      <c r="M28" s="15">
        <f>Data!L28</f>
        <v>843.6</v>
      </c>
      <c r="N28" s="15">
        <f>Data!M28</f>
        <v>0.37673652172088623</v>
      </c>
      <c r="O28" s="15">
        <f>Data!O28</f>
        <v>130.70732116699219</v>
      </c>
      <c r="P28" s="17">
        <f>Data!P28</f>
        <v>0.72089999999999999</v>
      </c>
      <c r="Q28" s="17">
        <f>Data!R28</f>
        <v>-0.62</v>
      </c>
      <c r="R28" s="15">
        <f>Data!Q28</f>
        <v>0.83</v>
      </c>
      <c r="S28" s="15">
        <f t="shared" si="3"/>
        <v>0.72089999999999999</v>
      </c>
    </row>
    <row r="29" spans="1:19" x14ac:dyDescent="0.25">
      <c r="A29" s="15">
        <f>Data!A29</f>
        <v>202204</v>
      </c>
      <c r="B29" s="15">
        <v>80450</v>
      </c>
      <c r="C29" s="15">
        <f>Data!F29</f>
        <v>17034</v>
      </c>
      <c r="D29" s="15">
        <f>IF(Data!D29="Mauritius", 1, 0)</f>
        <v>1</v>
      </c>
      <c r="E29" s="15">
        <f>IF(Regression!A29&gt;201500, 1, 0)</f>
        <v>1</v>
      </c>
      <c r="F29" s="15">
        <f t="shared" si="1"/>
        <v>1</v>
      </c>
      <c r="G29" s="11">
        <f>Data!J29</f>
        <v>7.8831509149504086E-4</v>
      </c>
      <c r="H29" s="11">
        <f t="shared" si="2"/>
        <v>7.8831509149504086E-4</v>
      </c>
      <c r="I29" s="10">
        <f>Data!H29</f>
        <v>0.99034883720930234</v>
      </c>
      <c r="J29" s="10">
        <f>Data!I29</f>
        <v>1.5624134623122834</v>
      </c>
      <c r="K29" s="10">
        <f t="shared" si="0"/>
        <v>1.5619624951350044</v>
      </c>
      <c r="L29" s="17">
        <f>Data!N29</f>
        <v>2.1913770532548673</v>
      </c>
      <c r="M29" s="15">
        <f>Data!L29</f>
        <v>843.6</v>
      </c>
      <c r="N29" s="15">
        <f>Data!M29</f>
        <v>0.41409075260162354</v>
      </c>
      <c r="O29" s="15">
        <f>Data!O29</f>
        <v>191.14309692382813</v>
      </c>
      <c r="P29" s="17">
        <f>Data!P29</f>
        <v>0.89</v>
      </c>
      <c r="Q29" s="17">
        <f>Data!R29</f>
        <v>-0.62</v>
      </c>
      <c r="R29" s="15">
        <f>Data!Q29</f>
        <v>0.83</v>
      </c>
      <c r="S29" s="15">
        <f t="shared" si="3"/>
        <v>0.89</v>
      </c>
    </row>
    <row r="30" spans="1:19" x14ac:dyDescent="0.25">
      <c r="A30" s="15">
        <f>Data!A30</f>
        <v>202203</v>
      </c>
      <c r="B30" s="15">
        <v>80450</v>
      </c>
      <c r="C30" s="15">
        <f>Data!F30</f>
        <v>11041</v>
      </c>
      <c r="D30" s="15">
        <f>IF(Data!D30="Mauritius", 1, 0)</f>
        <v>1</v>
      </c>
      <c r="E30" s="15">
        <f>IF(Regression!A30&gt;201500, 1, 0)</f>
        <v>1</v>
      </c>
      <c r="F30" s="15">
        <f t="shared" si="1"/>
        <v>1</v>
      </c>
      <c r="G30" s="11">
        <f>Data!J30</f>
        <v>7.3153015555997699E-4</v>
      </c>
      <c r="H30" s="11">
        <f t="shared" si="2"/>
        <v>7.3153015555997699E-4</v>
      </c>
      <c r="I30" s="10">
        <f>Data!H30</f>
        <v>1.8550067204301075</v>
      </c>
      <c r="J30" s="10">
        <f>Data!I30</f>
        <v>1.2101782318320773</v>
      </c>
      <c r="K30" s="10">
        <f t="shared" si="0"/>
        <v>1.2106499433166509</v>
      </c>
      <c r="L30" s="17">
        <f>Data!N30</f>
        <v>5.6511054676270271</v>
      </c>
      <c r="M30" s="15">
        <f>Data!L30</f>
        <v>843.6</v>
      </c>
      <c r="N30" s="15">
        <f>Data!M30</f>
        <v>0.46701973676681519</v>
      </c>
      <c r="O30" s="15">
        <f>Data!O30</f>
        <v>318.95492553710938</v>
      </c>
      <c r="P30" s="17">
        <f>Data!P30</f>
        <v>0.60309999999999997</v>
      </c>
      <c r="Q30" s="17">
        <f>Data!R30</f>
        <v>-0.62</v>
      </c>
      <c r="R30" s="15">
        <f>Data!Q30</f>
        <v>0.83</v>
      </c>
      <c r="S30" s="15">
        <f t="shared" si="3"/>
        <v>0.60309999999999997</v>
      </c>
    </row>
    <row r="31" spans="1:19" x14ac:dyDescent="0.25">
      <c r="A31" s="15">
        <f>Data!A31</f>
        <v>202201</v>
      </c>
      <c r="B31" s="15">
        <v>80450</v>
      </c>
      <c r="C31" s="15">
        <f>Data!F31</f>
        <v>14936</v>
      </c>
      <c r="D31" s="15">
        <f>IF(Data!D31="Mauritius", 1, 0)</f>
        <v>1</v>
      </c>
      <c r="E31" s="15">
        <f>IF(Regression!A31&gt;201500, 1, 0)</f>
        <v>1</v>
      </c>
      <c r="F31" s="15">
        <f t="shared" si="1"/>
        <v>1</v>
      </c>
      <c r="G31" s="11">
        <f>Data!J31</f>
        <v>1.3376797775883468E-3</v>
      </c>
      <c r="H31" s="11">
        <f t="shared" si="2"/>
        <v>1.3376797775883468E-3</v>
      </c>
      <c r="I31" s="10">
        <f>Data!H31</f>
        <v>0.85642201834862386</v>
      </c>
      <c r="J31" s="10">
        <f>Data!I31</f>
        <v>0.96046016335286355</v>
      </c>
      <c r="K31" s="10">
        <f t="shared" si="0"/>
        <v>0.96032099363019352</v>
      </c>
      <c r="L31" s="17">
        <f>Data!N31</f>
        <v>0.77112190177234807</v>
      </c>
      <c r="M31" s="15">
        <f>Data!L31</f>
        <v>843.6</v>
      </c>
      <c r="N31" s="15">
        <f>Data!M31</f>
        <v>0.21815009415149689</v>
      </c>
      <c r="O31" s="15">
        <f>Data!O31</f>
        <v>138.67498779296875</v>
      </c>
      <c r="P31" s="17">
        <f>Data!P31</f>
        <v>1</v>
      </c>
      <c r="Q31" s="17">
        <f>Data!R31</f>
        <v>-0.62</v>
      </c>
      <c r="R31" s="15">
        <f>Data!Q31</f>
        <v>0.83</v>
      </c>
      <c r="S31" s="15">
        <f t="shared" si="3"/>
        <v>1</v>
      </c>
    </row>
    <row r="32" spans="1:19" x14ac:dyDescent="0.25">
      <c r="A32" s="15">
        <f>Data!A32</f>
        <v>202112</v>
      </c>
      <c r="B32" s="15">
        <v>80450</v>
      </c>
      <c r="C32" s="15">
        <f>Data!F32</f>
        <v>14228</v>
      </c>
      <c r="D32" s="15">
        <f>IF(Data!D32="Mauritius", 1, 0)</f>
        <v>1</v>
      </c>
      <c r="E32" s="15">
        <f>IF(Regression!A32&gt;201500, 1, 0)</f>
        <v>1</v>
      </c>
      <c r="F32" s="15">
        <f t="shared" si="1"/>
        <v>1</v>
      </c>
      <c r="G32" s="11">
        <f>Data!J32</f>
        <v>9.5697313460020843E-4</v>
      </c>
      <c r="H32" s="11">
        <f t="shared" si="2"/>
        <v>9.5697313460020843E-4</v>
      </c>
      <c r="I32" s="10">
        <f>Data!H32</f>
        <v>0.83204678362573103</v>
      </c>
      <c r="J32" s="10">
        <f>Data!I32</f>
        <v>0.94837893769415815</v>
      </c>
      <c r="K32" s="10">
        <f t="shared" si="0"/>
        <v>0.94826761094802459</v>
      </c>
      <c r="L32" s="17">
        <f>Data!N32</f>
        <v>-0.13107354512786323</v>
      </c>
      <c r="M32" s="15">
        <f>Data!L32</f>
        <v>854.8</v>
      </c>
      <c r="N32" s="15">
        <f>Data!M32</f>
        <v>0.14811158180236816</v>
      </c>
      <c r="O32" s="15">
        <f>Data!O32</f>
        <v>105.34542083740234</v>
      </c>
      <c r="P32" s="17">
        <f>Data!P32</f>
        <v>0.70960000000000001</v>
      </c>
      <c r="Q32" s="17">
        <f>Data!R32</f>
        <v>-0.69</v>
      </c>
      <c r="R32" s="15">
        <f>Data!Q32</f>
        <v>0.83</v>
      </c>
      <c r="S32" s="15">
        <f t="shared" si="3"/>
        <v>0.70960000000000001</v>
      </c>
    </row>
    <row r="33" spans="1:19" x14ac:dyDescent="0.25">
      <c r="A33" s="15">
        <f>Data!A33</f>
        <v>202110</v>
      </c>
      <c r="B33" s="15">
        <v>80450</v>
      </c>
      <c r="C33" s="15">
        <f>Data!F33</f>
        <v>665</v>
      </c>
      <c r="D33" s="15">
        <f>IF(Data!D33="Mauritius", 1, 0)</f>
        <v>1</v>
      </c>
      <c r="E33" s="15">
        <f>IF(Regression!A33&gt;201500, 1, 0)</f>
        <v>1</v>
      </c>
      <c r="F33" s="15">
        <f t="shared" si="1"/>
        <v>1</v>
      </c>
      <c r="G33" s="11">
        <f>Data!J33</f>
        <v>3.8604762353146612E-5</v>
      </c>
      <c r="H33" s="11">
        <f t="shared" si="2"/>
        <v>3.8604762353146612E-5</v>
      </c>
      <c r="I33" s="10">
        <f>Data!H33</f>
        <v>1.933139534883721</v>
      </c>
      <c r="J33" s="10">
        <f>Data!I33</f>
        <v>1.9306173331813572</v>
      </c>
      <c r="K33" s="10">
        <f t="shared" si="0"/>
        <v>1.9306174305503545</v>
      </c>
      <c r="L33" s="17">
        <f>Data!N33</f>
        <v>-0.843424303127009</v>
      </c>
      <c r="M33" s="15">
        <f>Data!L33</f>
        <v>854.8</v>
      </c>
      <c r="N33" s="15">
        <f>Data!M33</f>
        <v>0.25541067123413086</v>
      </c>
      <c r="O33" s="15">
        <f>Data!O33</f>
        <v>79.02923583984375</v>
      </c>
      <c r="P33" s="17">
        <f>Data!P33</f>
        <v>1</v>
      </c>
      <c r="Q33" s="17">
        <f>Data!R33</f>
        <v>-0.69</v>
      </c>
      <c r="R33" s="15">
        <f>Data!Q33</f>
        <v>0.83</v>
      </c>
      <c r="S33" s="15">
        <f t="shared" si="3"/>
        <v>1</v>
      </c>
    </row>
    <row r="34" spans="1:19" x14ac:dyDescent="0.25">
      <c r="A34" s="15">
        <f>Data!A34</f>
        <v>202109</v>
      </c>
      <c r="B34" s="15">
        <v>80450</v>
      </c>
      <c r="C34" s="15">
        <f>Data!F34</f>
        <v>12404</v>
      </c>
      <c r="D34" s="15">
        <f>IF(Data!D34="Mauritius", 1, 0)</f>
        <v>1</v>
      </c>
      <c r="E34" s="15">
        <f>IF(Regression!A34&gt;201500, 1, 0)</f>
        <v>1</v>
      </c>
      <c r="F34" s="15">
        <f t="shared" si="1"/>
        <v>1</v>
      </c>
      <c r="G34" s="11">
        <f>Data!J34</f>
        <v>8.0073127086717055E-4</v>
      </c>
      <c r="H34" s="11">
        <f t="shared" si="2"/>
        <v>8.0073127086717055E-4</v>
      </c>
      <c r="I34" s="10">
        <f>Data!H34</f>
        <v>1.2555926713230083</v>
      </c>
      <c r="J34" s="10">
        <f>Data!I34</f>
        <v>0.96168832769233448</v>
      </c>
      <c r="K34" s="10">
        <f t="shared" si="0"/>
        <v>0.96192366609092317</v>
      </c>
      <c r="L34" s="17">
        <f>Data!N34</f>
        <v>-0.79828058930461032</v>
      </c>
      <c r="M34" s="15">
        <f>Data!L34</f>
        <v>854.8</v>
      </c>
      <c r="N34" s="15">
        <f>Data!M34</f>
        <v>0.43071159720420837</v>
      </c>
      <c r="O34" s="15">
        <f>Data!O34</f>
        <v>80.696968078613281</v>
      </c>
      <c r="P34" s="17">
        <f>Data!P34</f>
        <v>1</v>
      </c>
      <c r="Q34" s="17">
        <f>Data!R34</f>
        <v>-0.69</v>
      </c>
      <c r="R34" s="15">
        <f>Data!Q34</f>
        <v>0.83</v>
      </c>
      <c r="S34" s="15">
        <f t="shared" si="3"/>
        <v>1</v>
      </c>
    </row>
    <row r="35" spans="1:19" x14ac:dyDescent="0.25">
      <c r="A35" s="15">
        <f>Data!A35</f>
        <v>202108</v>
      </c>
      <c r="B35" s="15">
        <v>80450</v>
      </c>
      <c r="C35" s="15">
        <f>Data!F35</f>
        <v>98</v>
      </c>
      <c r="D35" s="15">
        <f>IF(Data!D35="Mauritius", 1, 0)</f>
        <v>1</v>
      </c>
      <c r="E35" s="15">
        <f>IF(Regression!A35&gt;201500, 1, 0)</f>
        <v>1</v>
      </c>
      <c r="F35" s="15">
        <f t="shared" si="1"/>
        <v>1</v>
      </c>
      <c r="G35" s="11">
        <f>Data!J35</f>
        <v>5.5657566029892998E-6</v>
      </c>
      <c r="H35" s="11">
        <f t="shared" si="2"/>
        <v>5.5657566029892998E-6</v>
      </c>
      <c r="I35" s="10">
        <f>Data!H35</f>
        <v>6.5333333333333332</v>
      </c>
      <c r="J35" s="10">
        <f>Data!I35</f>
        <v>1.0367885495127362</v>
      </c>
      <c r="K35" s="10">
        <f t="shared" si="0"/>
        <v>1.0368191419431603</v>
      </c>
      <c r="L35" s="17">
        <f>Data!N35</f>
        <v>-0.56035609906044304</v>
      </c>
      <c r="M35" s="15">
        <f>Data!L35</f>
        <v>854.8</v>
      </c>
      <c r="N35" s="15">
        <f>Data!M35</f>
        <v>0.14482259750366211</v>
      </c>
      <c r="O35" s="15">
        <f>Data!O35</f>
        <v>89.486549377441406</v>
      </c>
      <c r="P35" s="17">
        <f>Data!P35</f>
        <v>2.0299999999999999E-2</v>
      </c>
      <c r="Q35" s="17">
        <f>Data!R35</f>
        <v>-0.69</v>
      </c>
      <c r="R35" s="15">
        <f>Data!Q35</f>
        <v>0.83</v>
      </c>
      <c r="S35" s="15">
        <f t="shared" si="3"/>
        <v>2.0299999999999999E-2</v>
      </c>
    </row>
    <row r="36" spans="1:19" x14ac:dyDescent="0.25">
      <c r="A36" s="15">
        <f>Data!A36</f>
        <v>202107</v>
      </c>
      <c r="B36" s="15">
        <v>80450</v>
      </c>
      <c r="C36" s="15">
        <f>Data!F36</f>
        <v>1103</v>
      </c>
      <c r="D36" s="15">
        <f>IF(Data!D36="Mauritius", 1, 0)</f>
        <v>1</v>
      </c>
      <c r="E36" s="15">
        <f>IF(Regression!A36&gt;201500, 1, 0)</f>
        <v>1</v>
      </c>
      <c r="F36" s="15">
        <f t="shared" si="1"/>
        <v>1</v>
      </c>
      <c r="G36" s="11">
        <f>Data!J36</f>
        <v>6.0268270848122643E-5</v>
      </c>
      <c r="H36" s="11">
        <f t="shared" si="2"/>
        <v>6.0268270848122643E-5</v>
      </c>
      <c r="I36" s="10">
        <f>Data!H36</f>
        <v>2.1627450980392156</v>
      </c>
      <c r="J36" s="10">
        <f>Data!I36</f>
        <v>0.8751198528771863</v>
      </c>
      <c r="K36" s="10">
        <f t="shared" si="0"/>
        <v>0.8751974558242126</v>
      </c>
      <c r="L36" s="17">
        <f>Data!N36</f>
        <v>-1.4012732908396379</v>
      </c>
      <c r="M36" s="15">
        <f>Data!L36</f>
        <v>854.8</v>
      </c>
      <c r="N36" s="15">
        <f>Data!M36</f>
        <v>0.17029666900634766</v>
      </c>
      <c r="O36" s="15">
        <f>Data!O36</f>
        <v>58.420768737792969</v>
      </c>
      <c r="P36" s="17">
        <f>Data!P36</f>
        <v>1</v>
      </c>
      <c r="Q36" s="17">
        <f>Data!R36</f>
        <v>-0.69</v>
      </c>
      <c r="R36" s="15">
        <f>Data!Q36</f>
        <v>0.83</v>
      </c>
      <c r="S36" s="15">
        <f t="shared" si="3"/>
        <v>1</v>
      </c>
    </row>
    <row r="37" spans="1:19" x14ac:dyDescent="0.25">
      <c r="A37" s="15">
        <f>Data!A37</f>
        <v>202105</v>
      </c>
      <c r="B37" s="15">
        <v>80450</v>
      </c>
      <c r="C37" s="15">
        <f>Data!F37</f>
        <v>1157</v>
      </c>
      <c r="D37" s="15">
        <f>IF(Data!D37="Mauritius", 1, 0)</f>
        <v>1</v>
      </c>
      <c r="E37" s="15">
        <f>IF(Regression!A37&gt;201500, 1, 0)</f>
        <v>1</v>
      </c>
      <c r="F37" s="15">
        <f t="shared" si="1"/>
        <v>1</v>
      </c>
      <c r="G37" s="11">
        <f>Data!J37</f>
        <v>5.324089817625305E-5</v>
      </c>
      <c r="H37" s="11">
        <f t="shared" si="2"/>
        <v>5.324089817625305E-5</v>
      </c>
      <c r="I37" s="10">
        <f>Data!H37</f>
        <v>2.3279678068410461</v>
      </c>
      <c r="J37" s="10">
        <f>Data!I37</f>
        <v>1.3971747274802528</v>
      </c>
      <c r="K37" s="10">
        <f t="shared" si="0"/>
        <v>1.3972242837398141</v>
      </c>
      <c r="L37" s="17">
        <f>Data!N37</f>
        <v>-0.46505768262741043</v>
      </c>
      <c r="M37" s="15">
        <f>Data!L37</f>
        <v>854.8</v>
      </c>
      <c r="N37" s="15">
        <f>Data!M37</f>
        <v>0.30895048379898071</v>
      </c>
      <c r="O37" s="15">
        <f>Data!O37</f>
        <v>93.007133483886719</v>
      </c>
      <c r="P37" s="17">
        <f>Data!P37</f>
        <v>0.21829999999999999</v>
      </c>
      <c r="Q37" s="17">
        <f>Data!R37</f>
        <v>-0.69</v>
      </c>
      <c r="R37" s="15">
        <f>Data!Q37</f>
        <v>0.83</v>
      </c>
      <c r="S37" s="15">
        <f t="shared" si="3"/>
        <v>0.21829999999999999</v>
      </c>
    </row>
    <row r="38" spans="1:19" x14ac:dyDescent="0.25">
      <c r="A38" s="15">
        <f>Data!A38</f>
        <v>202102</v>
      </c>
      <c r="B38" s="15">
        <v>80450</v>
      </c>
      <c r="C38" s="15">
        <f>Data!F38</f>
        <v>2039</v>
      </c>
      <c r="D38" s="15">
        <f>IF(Data!D38="Mauritius", 1, 0)</f>
        <v>1</v>
      </c>
      <c r="E38" s="15">
        <f>IF(Regression!A38&gt;201500, 1, 0)</f>
        <v>1</v>
      </c>
      <c r="F38" s="15">
        <f t="shared" si="1"/>
        <v>1</v>
      </c>
      <c r="G38" s="11">
        <f>Data!J38</f>
        <v>2.6694047593955129E-4</v>
      </c>
      <c r="H38" s="11">
        <f t="shared" si="2"/>
        <v>2.6694047593955129E-4</v>
      </c>
      <c r="I38" s="10">
        <f>Data!H38</f>
        <v>1.6991666666666667</v>
      </c>
      <c r="J38" s="10">
        <f>Data!I38</f>
        <v>1.0038664805183659</v>
      </c>
      <c r="K38" s="10">
        <f t="shared" si="0"/>
        <v>1.0040520842809773</v>
      </c>
      <c r="L38" s="17">
        <f>Data!N38</f>
        <v>-0.98072960892214922</v>
      </c>
      <c r="M38" s="15">
        <f>Data!L38</f>
        <v>854.8</v>
      </c>
      <c r="N38" s="15">
        <f>Data!M38</f>
        <v>0.14015078544616699</v>
      </c>
      <c r="O38" s="15">
        <f>Data!O38</f>
        <v>73.956802368164063</v>
      </c>
      <c r="P38" s="17">
        <f>Data!P38</f>
        <v>0.29649999999999999</v>
      </c>
      <c r="Q38" s="17">
        <f>Data!R38</f>
        <v>-0.69</v>
      </c>
      <c r="R38" s="15">
        <f>Data!Q38</f>
        <v>0.83</v>
      </c>
      <c r="S38" s="15">
        <f t="shared" si="3"/>
        <v>0.29649999999999999</v>
      </c>
    </row>
    <row r="39" spans="1:19" x14ac:dyDescent="0.25">
      <c r="A39" s="15">
        <f>Data!A39</f>
        <v>202010</v>
      </c>
      <c r="B39" s="15">
        <v>80450</v>
      </c>
      <c r="C39" s="15">
        <f>Data!F39</f>
        <v>844</v>
      </c>
      <c r="D39" s="15">
        <f>IF(Data!D39="Mauritius", 1, 0)</f>
        <v>1</v>
      </c>
      <c r="E39" s="15">
        <f>IF(Regression!A39&gt;201500, 1, 0)</f>
        <v>1</v>
      </c>
      <c r="F39" s="15">
        <f t="shared" si="1"/>
        <v>1</v>
      </c>
      <c r="G39" s="11">
        <f>Data!J39</f>
        <v>8.00261165800365E-5</v>
      </c>
      <c r="H39" s="11">
        <f t="shared" si="2"/>
        <v>8.00261165800365E-5</v>
      </c>
      <c r="I39" s="10">
        <f>Data!H39</f>
        <v>0.84399999999999997</v>
      </c>
      <c r="J39" s="10">
        <f>Data!I39</f>
        <v>0.97155903314254466</v>
      </c>
      <c r="K39" s="10">
        <f t="shared" si="0"/>
        <v>0.9715488250884875</v>
      </c>
      <c r="L39" s="17">
        <f>Data!N39</f>
        <v>-0.92317118276806709</v>
      </c>
      <c r="M39" s="15">
        <f>Data!L39</f>
        <v>700.4</v>
      </c>
      <c r="N39" s="15">
        <f>Data!M39</f>
        <v>0.11810857802629471</v>
      </c>
      <c r="O39" s="15">
        <f>Data!O39</f>
        <v>76.083168029785156</v>
      </c>
      <c r="P39" s="17">
        <f>Data!P39</f>
        <v>1</v>
      </c>
      <c r="Q39" s="17">
        <f>Data!R39</f>
        <v>-0.84</v>
      </c>
      <c r="R39" s="15">
        <f>Data!Q39</f>
        <v>0.87</v>
      </c>
      <c r="S39" s="15">
        <f t="shared" si="3"/>
        <v>1</v>
      </c>
    </row>
    <row r="40" spans="1:19" x14ac:dyDescent="0.25">
      <c r="A40" s="15">
        <f>Data!A40</f>
        <v>202009</v>
      </c>
      <c r="B40" s="15">
        <v>80450</v>
      </c>
      <c r="C40" s="15">
        <f>Data!F40</f>
        <v>7200</v>
      </c>
      <c r="D40" s="15">
        <f>IF(Data!D40="Mauritius", 1, 0)</f>
        <v>1</v>
      </c>
      <c r="E40" s="15">
        <f>IF(Regression!A40&gt;201500, 1, 0)</f>
        <v>1</v>
      </c>
      <c r="F40" s="15">
        <f t="shared" si="1"/>
        <v>1</v>
      </c>
      <c r="G40" s="11">
        <f>Data!J40</f>
        <v>5.6903788970401813E-4</v>
      </c>
      <c r="H40" s="11">
        <f t="shared" si="2"/>
        <v>5.6903788970401813E-4</v>
      </c>
      <c r="I40" s="10">
        <f>Data!H40</f>
        <v>1.44</v>
      </c>
      <c r="J40" s="10">
        <f>Data!I40</f>
        <v>0.9807629045425218</v>
      </c>
      <c r="K40" s="10">
        <f t="shared" si="0"/>
        <v>0.98102422785019472</v>
      </c>
      <c r="L40" s="17">
        <f>Data!N40</f>
        <v>-0.80693148401901771</v>
      </c>
      <c r="M40" s="15">
        <f>Data!L40</f>
        <v>700.4</v>
      </c>
      <c r="N40" s="15">
        <f>Data!M40</f>
        <v>0.21509231626987457</v>
      </c>
      <c r="O40" s="15">
        <f>Data!O40</f>
        <v>80.37738037109375</v>
      </c>
      <c r="P40" s="17">
        <f>Data!P40</f>
        <v>0.60699999999999998</v>
      </c>
      <c r="Q40" s="17">
        <f>Data!R40</f>
        <v>-0.84</v>
      </c>
      <c r="R40" s="15">
        <f>Data!Q40</f>
        <v>0.87</v>
      </c>
      <c r="S40" s="15">
        <f t="shared" si="3"/>
        <v>0.60699999999999998</v>
      </c>
    </row>
    <row r="41" spans="1:19" x14ac:dyDescent="0.25">
      <c r="A41" s="15">
        <f>Data!A41</f>
        <v>202008</v>
      </c>
      <c r="B41" s="15">
        <v>80450</v>
      </c>
      <c r="C41" s="15">
        <f>Data!F41</f>
        <v>296</v>
      </c>
      <c r="D41" s="15">
        <f>IF(Data!D41="Mauritius", 1, 0)</f>
        <v>1</v>
      </c>
      <c r="E41" s="15">
        <f>IF(Regression!A41&gt;201500, 1, 0)</f>
        <v>1</v>
      </c>
      <c r="F41" s="15">
        <f t="shared" si="1"/>
        <v>1</v>
      </c>
      <c r="G41" s="11">
        <f>Data!J41</f>
        <v>2.1764934734240219E-5</v>
      </c>
      <c r="H41" s="11">
        <f t="shared" si="2"/>
        <v>2.1764934734240219E-5</v>
      </c>
      <c r="I41" s="10">
        <f>Data!H41</f>
        <v>1.48</v>
      </c>
      <c r="J41" s="10">
        <f>Data!I41</f>
        <v>0.89543553520613006</v>
      </c>
      <c r="K41" s="10">
        <f t="shared" si="0"/>
        <v>0.89544825821355423</v>
      </c>
      <c r="L41" s="17">
        <f>Data!N41</f>
        <v>-1.2105651439710645</v>
      </c>
      <c r="M41" s="15">
        <f>Data!L41</f>
        <v>700.4</v>
      </c>
      <c r="N41" s="15">
        <f>Data!M41</f>
        <v>9.7956277430057526E-2</v>
      </c>
      <c r="O41" s="15">
        <f>Data!O41</f>
        <v>65.466049194335938</v>
      </c>
      <c r="P41" s="17">
        <f>Data!P41</f>
        <v>1</v>
      </c>
      <c r="Q41" s="17">
        <f>Data!R41</f>
        <v>-0.84</v>
      </c>
      <c r="R41" s="15">
        <f>Data!Q41</f>
        <v>0.87</v>
      </c>
      <c r="S41" s="15">
        <f t="shared" si="3"/>
        <v>1</v>
      </c>
    </row>
    <row r="42" spans="1:19" x14ac:dyDescent="0.25">
      <c r="A42" s="15">
        <f>Data!A42</f>
        <v>202005</v>
      </c>
      <c r="B42" s="15">
        <v>80450</v>
      </c>
      <c r="C42" s="15">
        <f>Data!F42</f>
        <v>144</v>
      </c>
      <c r="D42" s="15">
        <f>IF(Data!D42="Mauritius", 1, 0)</f>
        <v>1</v>
      </c>
      <c r="E42" s="15">
        <f>IF(Regression!A42&gt;201500, 1, 0)</f>
        <v>1</v>
      </c>
      <c r="F42" s="15">
        <f t="shared" si="1"/>
        <v>1</v>
      </c>
      <c r="G42" s="11">
        <f>Data!J42</f>
        <v>7.383277686150504E-6</v>
      </c>
      <c r="H42" s="11">
        <f t="shared" si="2"/>
        <v>7.383277686150504E-6</v>
      </c>
      <c r="I42" s="10">
        <f>Data!H42</f>
        <v>1.44</v>
      </c>
      <c r="J42" s="10">
        <f>Data!I42</f>
        <v>1.3166890553272432</v>
      </c>
      <c r="K42" s="10">
        <f t="shared" si="0"/>
        <v>1.3166899657661895</v>
      </c>
      <c r="L42" s="17">
        <f>Data!N42</f>
        <v>-1.1282439989473263</v>
      </c>
      <c r="M42" s="15">
        <f>Data!L42</f>
        <v>700.4</v>
      </c>
      <c r="N42" s="15">
        <f>Data!M42</f>
        <v>0.15320836007595062</v>
      </c>
      <c r="O42" s="15">
        <f>Data!O42</f>
        <v>68.507217407226563</v>
      </c>
      <c r="P42" s="17">
        <f>Data!P42</f>
        <v>1</v>
      </c>
      <c r="Q42" s="17">
        <f>Data!R42</f>
        <v>-0.84</v>
      </c>
      <c r="R42" s="15">
        <f>Data!Q42</f>
        <v>0.87</v>
      </c>
      <c r="S42" s="15">
        <f t="shared" si="3"/>
        <v>1</v>
      </c>
    </row>
    <row r="43" spans="1:19" x14ac:dyDescent="0.25">
      <c r="A43" s="15">
        <f>Data!A43</f>
        <v>202003</v>
      </c>
      <c r="B43" s="15">
        <v>80450</v>
      </c>
      <c r="C43" s="15">
        <f>Data!F43</f>
        <v>15442</v>
      </c>
      <c r="D43" s="15">
        <f>IF(Data!D43="Mauritius", 1, 0)</f>
        <v>1</v>
      </c>
      <c r="E43" s="15">
        <f>IF(Regression!A43&gt;201500, 1, 0)</f>
        <v>1</v>
      </c>
      <c r="F43" s="15">
        <f t="shared" si="1"/>
        <v>1</v>
      </c>
      <c r="G43" s="11">
        <f>Data!J43</f>
        <v>1.8418985033053859E-3</v>
      </c>
      <c r="H43" s="11">
        <f t="shared" si="2"/>
        <v>1.8418985033053859E-3</v>
      </c>
      <c r="I43" s="10">
        <f>Data!H43</f>
        <v>0.87938496583143511</v>
      </c>
      <c r="J43" s="10">
        <f>Data!I43</f>
        <v>1.1449394135718842</v>
      </c>
      <c r="K43" s="10">
        <f t="shared" si="0"/>
        <v>1.1444502892320449</v>
      </c>
      <c r="L43" s="17">
        <f>Data!N43</f>
        <v>-0.77545977315403503</v>
      </c>
      <c r="M43" s="15">
        <f>Data!L43</f>
        <v>700.4</v>
      </c>
      <c r="N43" s="15">
        <f>Data!M43</f>
        <v>0.11971951276063919</v>
      </c>
      <c r="O43" s="15">
        <f>Data!O43</f>
        <v>81.540031433105469</v>
      </c>
      <c r="P43" s="17">
        <f>Data!P43</f>
        <v>0.84650000000000003</v>
      </c>
      <c r="Q43" s="17">
        <f>Data!R43</f>
        <v>-0.84</v>
      </c>
      <c r="R43" s="15">
        <f>Data!Q43</f>
        <v>0.87</v>
      </c>
      <c r="S43" s="15">
        <f t="shared" si="3"/>
        <v>0.84650000000000003</v>
      </c>
    </row>
    <row r="44" spans="1:19" x14ac:dyDescent="0.25">
      <c r="A44" s="15">
        <f>Data!A44</f>
        <v>202002</v>
      </c>
      <c r="B44" s="15">
        <v>80450</v>
      </c>
      <c r="C44" s="15">
        <f>Data!F44</f>
        <v>9167</v>
      </c>
      <c r="D44" s="15">
        <f>IF(Data!D44="Mauritius", 1, 0)</f>
        <v>1</v>
      </c>
      <c r="E44" s="15">
        <f>IF(Regression!A44&gt;201500, 1, 0)</f>
        <v>1</v>
      </c>
      <c r="F44" s="15">
        <f t="shared" si="1"/>
        <v>1</v>
      </c>
      <c r="G44" s="11">
        <f>Data!J44</f>
        <v>1.2165400073387872E-3</v>
      </c>
      <c r="H44" s="11">
        <f t="shared" si="2"/>
        <v>1.2165400073387872E-3</v>
      </c>
      <c r="I44" s="10">
        <f>Data!H44</f>
        <v>23.505128205128205</v>
      </c>
      <c r="J44" s="10">
        <f>Data!I44</f>
        <v>1.106555595596513</v>
      </c>
      <c r="K44" s="10">
        <f t="shared" si="0"/>
        <v>1.133804355283291</v>
      </c>
      <c r="L44" s="17">
        <f>Data!N44</f>
        <v>-0.9266254276770689</v>
      </c>
      <c r="M44" s="15">
        <f>Data!L44</f>
        <v>700.4</v>
      </c>
      <c r="N44" s="15">
        <f>Data!M44</f>
        <v>0.21399910748004913</v>
      </c>
      <c r="O44" s="15">
        <f>Data!O44</f>
        <v>75.955558776855469</v>
      </c>
      <c r="P44" s="17">
        <f>Data!P44</f>
        <v>0.65910000000000002</v>
      </c>
      <c r="Q44" s="17">
        <f>Data!R44</f>
        <v>-0.84</v>
      </c>
      <c r="R44" s="15">
        <f>Data!Q44</f>
        <v>0.87</v>
      </c>
      <c r="S44" s="15">
        <f t="shared" si="3"/>
        <v>0.65910000000000002</v>
      </c>
    </row>
    <row r="45" spans="1:19" x14ac:dyDescent="0.25">
      <c r="A45" s="15">
        <f>Data!A45</f>
        <v>201911</v>
      </c>
      <c r="B45" s="15">
        <v>80450</v>
      </c>
      <c r="C45" s="15">
        <f>Data!F45</f>
        <v>8813</v>
      </c>
      <c r="D45" s="15">
        <f>IF(Data!D45="Mauritius", 1, 0)</f>
        <v>1</v>
      </c>
      <c r="E45" s="15">
        <f>IF(Regression!A45&gt;201500, 1, 0)</f>
        <v>1</v>
      </c>
      <c r="F45" s="15">
        <f t="shared" si="1"/>
        <v>1</v>
      </c>
      <c r="G45" s="11">
        <f>Data!J45</f>
        <v>9.7196831469318755E-4</v>
      </c>
      <c r="H45" s="11">
        <f t="shared" si="2"/>
        <v>9.7196831469318755E-4</v>
      </c>
      <c r="I45" s="10">
        <f>Data!H45</f>
        <v>1.8751063829787233</v>
      </c>
      <c r="J45" s="10">
        <f>Data!I45</f>
        <v>0.90338520569989933</v>
      </c>
      <c r="K45" s="10">
        <f t="shared" si="0"/>
        <v>0.90432968789493073</v>
      </c>
      <c r="L45" s="17">
        <f>Data!N45</f>
        <v>-1.0045074363670157</v>
      </c>
      <c r="M45" s="15">
        <f>Data!L45</f>
        <v>802.4</v>
      </c>
      <c r="N45" s="15">
        <f>Data!M45</f>
        <v>7.9225353896617889E-2</v>
      </c>
      <c r="O45" s="15">
        <f>Data!O45</f>
        <v>73.078384399414063</v>
      </c>
      <c r="P45" s="17">
        <f>Data!P45</f>
        <v>1</v>
      </c>
      <c r="Q45" s="17">
        <f>Data!R45</f>
        <v>-0.8</v>
      </c>
      <c r="R45" s="15">
        <f>Data!Q45</f>
        <v>0.8</v>
      </c>
      <c r="S45" s="15">
        <f t="shared" si="3"/>
        <v>1</v>
      </c>
    </row>
    <row r="46" spans="1:19" x14ac:dyDescent="0.25">
      <c r="A46" s="15">
        <f>Data!A46</f>
        <v>201908</v>
      </c>
      <c r="B46" s="15">
        <v>80450</v>
      </c>
      <c r="C46" s="15">
        <f>Data!F46</f>
        <v>2127</v>
      </c>
      <c r="D46" s="15">
        <f>IF(Data!D46="Mauritius", 1, 0)</f>
        <v>1</v>
      </c>
      <c r="E46" s="15">
        <f>IF(Regression!A46&gt;201500, 1, 0)</f>
        <v>1</v>
      </c>
      <c r="F46" s="15">
        <f t="shared" si="1"/>
        <v>1</v>
      </c>
      <c r="G46" s="11">
        <f>Data!J46</f>
        <v>2.2035166758661157E-4</v>
      </c>
      <c r="H46" s="11">
        <f t="shared" si="2"/>
        <v>2.2035166758661157E-4</v>
      </c>
      <c r="I46" s="10">
        <f>Data!H46</f>
        <v>0.9893023255813953</v>
      </c>
      <c r="J46" s="10">
        <f>Data!I46</f>
        <v>0.73745730747442462</v>
      </c>
      <c r="K46" s="10">
        <f t="shared" si="0"/>
        <v>0.73751280194413782</v>
      </c>
      <c r="L46" s="17">
        <f>Data!N46</f>
        <v>-0.18361437387018473</v>
      </c>
      <c r="M46" s="15">
        <f>Data!L46</f>
        <v>802.4</v>
      </c>
      <c r="N46" s="15">
        <f>Data!M46</f>
        <v>0.34510219097137451</v>
      </c>
      <c r="O46" s="15">
        <f>Data!O46</f>
        <v>103.4044189453125</v>
      </c>
      <c r="P46" s="17">
        <f>Data!P46</f>
        <v>0.16489999999999999</v>
      </c>
      <c r="Q46" s="17">
        <f>Data!R46</f>
        <v>-0.8</v>
      </c>
      <c r="R46" s="15">
        <f>Data!Q46</f>
        <v>0.8</v>
      </c>
      <c r="S46" s="15">
        <f t="shared" si="3"/>
        <v>0.16489999999999999</v>
      </c>
    </row>
    <row r="47" spans="1:19" x14ac:dyDescent="0.25">
      <c r="A47" s="15">
        <f>Data!A47</f>
        <v>201907</v>
      </c>
      <c r="B47" s="15">
        <v>80450</v>
      </c>
      <c r="C47" s="15">
        <f>Data!F47</f>
        <v>8955</v>
      </c>
      <c r="D47" s="15">
        <f>IF(Data!D47="Mauritius", 1, 0)</f>
        <v>1</v>
      </c>
      <c r="E47" s="15">
        <f>IF(Regression!A47&gt;201500, 1, 0)</f>
        <v>1</v>
      </c>
      <c r="F47" s="15">
        <f t="shared" si="1"/>
        <v>1</v>
      </c>
      <c r="G47" s="11">
        <f>Data!J47</f>
        <v>7.1268514294609638E-4</v>
      </c>
      <c r="H47" s="11">
        <f t="shared" si="2"/>
        <v>7.1268514294609638E-4</v>
      </c>
      <c r="I47" s="10">
        <f>Data!H47</f>
        <v>1.5250340599455041</v>
      </c>
      <c r="J47" s="10">
        <f>Data!I47</f>
        <v>0.80024868860197618</v>
      </c>
      <c r="K47" s="10">
        <f t="shared" si="0"/>
        <v>0.80076523236795738</v>
      </c>
      <c r="L47" s="17">
        <f>Data!N47</f>
        <v>-0.45114095408006449</v>
      </c>
      <c r="M47" s="15">
        <f>Data!L47</f>
        <v>802.4</v>
      </c>
      <c r="N47" s="15">
        <f>Data!M47</f>
        <v>0.17255109548568726</v>
      </c>
      <c r="O47" s="15">
        <f>Data!O47</f>
        <v>93.521255493164063</v>
      </c>
      <c r="P47" s="17">
        <f>Data!P47</f>
        <v>0.80500000000000005</v>
      </c>
      <c r="Q47" s="17">
        <f>Data!R47</f>
        <v>-0.8</v>
      </c>
      <c r="R47" s="15">
        <f>Data!Q47</f>
        <v>0.8</v>
      </c>
      <c r="S47" s="15">
        <f t="shared" si="3"/>
        <v>0.80500000000000005</v>
      </c>
    </row>
    <row r="48" spans="1:19" x14ac:dyDescent="0.25">
      <c r="A48" s="15">
        <f>Data!A48</f>
        <v>201906</v>
      </c>
      <c r="B48" s="15">
        <v>80450</v>
      </c>
      <c r="C48" s="15">
        <f>Data!F48</f>
        <v>9967</v>
      </c>
      <c r="D48" s="15">
        <f>IF(Data!D48="Mauritius", 1, 0)</f>
        <v>1</v>
      </c>
      <c r="E48" s="15">
        <f>IF(Regression!A48&gt;201500, 1, 0)</f>
        <v>1</v>
      </c>
      <c r="F48" s="15">
        <f t="shared" si="1"/>
        <v>1</v>
      </c>
      <c r="G48" s="11">
        <f>Data!J48</f>
        <v>6.0452224122663364E-4</v>
      </c>
      <c r="H48" s="11">
        <f t="shared" si="2"/>
        <v>6.0452224122663364E-4</v>
      </c>
      <c r="I48" s="10">
        <f>Data!H48</f>
        <v>2.1210895935305385</v>
      </c>
      <c r="J48" s="10">
        <f>Data!I48</f>
        <v>1.1154855021525025</v>
      </c>
      <c r="K48" s="10">
        <f t="shared" si="0"/>
        <v>1.1160934121916091</v>
      </c>
      <c r="L48" s="17">
        <f>Data!N48</f>
        <v>-9.7425944967098901E-2</v>
      </c>
      <c r="M48" s="15">
        <f>Data!L48</f>
        <v>802.4</v>
      </c>
      <c r="N48" s="15">
        <f>Data!M48</f>
        <v>0.20709292590618134</v>
      </c>
      <c r="O48" s="15">
        <f>Data!O48</f>
        <v>106.58845520019531</v>
      </c>
      <c r="P48" s="17">
        <f>Data!P48</f>
        <v>0.68289999999999995</v>
      </c>
      <c r="Q48" s="17">
        <f>Data!R48</f>
        <v>-0.8</v>
      </c>
      <c r="R48" s="15">
        <f>Data!Q48</f>
        <v>0.8</v>
      </c>
      <c r="S48" s="15">
        <f t="shared" si="3"/>
        <v>0.68289999999999995</v>
      </c>
    </row>
    <row r="49" spans="1:19" x14ac:dyDescent="0.25">
      <c r="A49" s="15">
        <f>Data!A49</f>
        <v>201905</v>
      </c>
      <c r="B49" s="15">
        <v>80450</v>
      </c>
      <c r="C49" s="15">
        <f>Data!F49</f>
        <v>6049</v>
      </c>
      <c r="D49" s="15">
        <f>IF(Data!D49="Mauritius", 1, 0)</f>
        <v>1</v>
      </c>
      <c r="E49" s="15">
        <f>IF(Regression!A49&gt;201500, 1, 0)</f>
        <v>1</v>
      </c>
      <c r="F49" s="15">
        <f t="shared" si="1"/>
        <v>1</v>
      </c>
      <c r="G49" s="11">
        <f>Data!J49</f>
        <v>2.0864332480536655E-4</v>
      </c>
      <c r="H49" s="11">
        <f t="shared" si="2"/>
        <v>2.0864332480536655E-4</v>
      </c>
      <c r="I49" s="10">
        <f>Data!H49</f>
        <v>4.109375</v>
      </c>
      <c r="J49" s="10">
        <f>Data!I49</f>
        <v>1.2825428641450574</v>
      </c>
      <c r="K49" s="10">
        <f t="shared" si="0"/>
        <v>1.2831326638005487</v>
      </c>
      <c r="L49" s="17">
        <f>Data!N49</f>
        <v>-0.10058094314208522</v>
      </c>
      <c r="M49" s="15">
        <f>Data!L49</f>
        <v>802.4</v>
      </c>
      <c r="N49" s="15">
        <f>Data!M49</f>
        <v>0.26218515634536743</v>
      </c>
      <c r="O49" s="15">
        <f>Data!O49</f>
        <v>106.47190093994141</v>
      </c>
      <c r="P49" s="17">
        <f>Data!P49</f>
        <v>1</v>
      </c>
      <c r="Q49" s="17">
        <f>Data!R49</f>
        <v>-0.8</v>
      </c>
      <c r="R49" s="15">
        <f>Data!Q49</f>
        <v>0.8</v>
      </c>
      <c r="S49" s="15">
        <f t="shared" si="3"/>
        <v>1</v>
      </c>
    </row>
    <row r="50" spans="1:19" x14ac:dyDescent="0.25">
      <c r="A50" s="15">
        <f>Data!A50</f>
        <v>201902</v>
      </c>
      <c r="B50" s="15">
        <v>80450</v>
      </c>
      <c r="C50" s="15">
        <f>Data!F50</f>
        <v>8006</v>
      </c>
      <c r="D50" s="15">
        <f>IF(Data!D50="Mauritius", 1, 0)</f>
        <v>1</v>
      </c>
      <c r="E50" s="15">
        <f>IF(Regression!A50&gt;201500, 1, 0)</f>
        <v>1</v>
      </c>
      <c r="F50" s="15">
        <f t="shared" si="1"/>
        <v>1</v>
      </c>
      <c r="G50" s="11">
        <f>Data!J50</f>
        <v>1.0463326992952741E-3</v>
      </c>
      <c r="H50" s="11">
        <f t="shared" si="2"/>
        <v>1.0463326992952741E-3</v>
      </c>
      <c r="I50" s="10">
        <f>Data!H50</f>
        <v>1.7034042553191489</v>
      </c>
      <c r="J50" s="10">
        <f>Data!I50</f>
        <v>0.96792293844307509</v>
      </c>
      <c r="K50" s="10">
        <f t="shared" si="0"/>
        <v>0.96869249659464318</v>
      </c>
      <c r="L50" s="17">
        <f>Data!N50</f>
        <v>-0.36238445537885372</v>
      </c>
      <c r="M50" s="15">
        <f>Data!L50</f>
        <v>802.4</v>
      </c>
      <c r="N50" s="15">
        <f>Data!M50</f>
        <v>0.3635161817073822</v>
      </c>
      <c r="O50" s="15">
        <f>Data!O50</f>
        <v>96.800163269042969</v>
      </c>
      <c r="P50" s="17">
        <f>Data!P50</f>
        <v>0.68899999999999995</v>
      </c>
      <c r="Q50" s="17">
        <f>Data!R50</f>
        <v>-0.8</v>
      </c>
      <c r="R50" s="15">
        <f>Data!Q50</f>
        <v>0.8</v>
      </c>
      <c r="S50" s="15">
        <f t="shared" si="3"/>
        <v>0.68899999999999995</v>
      </c>
    </row>
    <row r="51" spans="1:19" x14ac:dyDescent="0.25">
      <c r="A51" s="15">
        <f>Data!A51</f>
        <v>201812</v>
      </c>
      <c r="B51" s="15">
        <v>80450</v>
      </c>
      <c r="C51" s="15">
        <f>Data!F51</f>
        <v>9564</v>
      </c>
      <c r="D51" s="15">
        <f>IF(Data!D51="Mauritius", 1, 0)</f>
        <v>1</v>
      </c>
      <c r="E51" s="15">
        <f>IF(Regression!A51&gt;201500, 1, 0)</f>
        <v>1</v>
      </c>
      <c r="F51" s="15">
        <f t="shared" si="1"/>
        <v>1</v>
      </c>
      <c r="G51" s="11">
        <f>Data!J51</f>
        <v>1.1366723737983469E-3</v>
      </c>
      <c r="H51" s="11">
        <f t="shared" si="2"/>
        <v>1.1366723737983469E-3</v>
      </c>
      <c r="I51" s="10">
        <f>Data!H51</f>
        <v>0.9784143222506394</v>
      </c>
      <c r="J51" s="10">
        <f>Data!I51</f>
        <v>0.79758722781166136</v>
      </c>
      <c r="K51" s="10">
        <f t="shared" si="0"/>
        <v>0.79779276897434437</v>
      </c>
      <c r="L51" s="17">
        <f>Data!N51</f>
        <v>-0.53000868027274151</v>
      </c>
      <c r="M51" s="15">
        <f>Data!L51</f>
        <v>768.8</v>
      </c>
      <c r="N51" s="15">
        <f>Data!M51</f>
        <v>7.9793475568294525E-2</v>
      </c>
      <c r="O51" s="15">
        <f>Data!O51</f>
        <v>90.607666015625</v>
      </c>
      <c r="P51" s="17">
        <f>Data!P51</f>
        <v>1</v>
      </c>
      <c r="Q51" s="17">
        <f>Data!R51</f>
        <v>-1</v>
      </c>
      <c r="R51" s="15">
        <f>Data!Q51</f>
        <v>0.86</v>
      </c>
      <c r="S51" s="15">
        <f t="shared" si="3"/>
        <v>1</v>
      </c>
    </row>
    <row r="52" spans="1:19" x14ac:dyDescent="0.25">
      <c r="A52" s="15">
        <f>Data!A52</f>
        <v>201811</v>
      </c>
      <c r="B52" s="15">
        <v>80450</v>
      </c>
      <c r="C52" s="15">
        <f>Data!F52</f>
        <v>2351</v>
      </c>
      <c r="D52" s="15">
        <f>IF(Data!D52="Mauritius", 1, 0)</f>
        <v>1</v>
      </c>
      <c r="E52" s="15">
        <f>IF(Regression!A52&gt;201500, 1, 0)</f>
        <v>1</v>
      </c>
      <c r="F52" s="15">
        <f t="shared" si="1"/>
        <v>1</v>
      </c>
      <c r="G52" s="11">
        <f>Data!J52</f>
        <v>3.1872991754100478E-4</v>
      </c>
      <c r="H52" s="11">
        <f t="shared" si="2"/>
        <v>3.1872991754100478E-4</v>
      </c>
      <c r="I52" s="10">
        <f>Data!H52</f>
        <v>1.1755</v>
      </c>
      <c r="J52" s="10">
        <f>Data!I52</f>
        <v>0.89713798650890697</v>
      </c>
      <c r="K52" s="10">
        <f t="shared" si="0"/>
        <v>0.89722670881051347</v>
      </c>
      <c r="L52" s="17">
        <f>Data!N52</f>
        <v>-0.80611387337721818</v>
      </c>
      <c r="M52" s="15">
        <f>Data!L52</f>
        <v>768.8</v>
      </c>
      <c r="N52" s="15">
        <f>Data!M52</f>
        <v>0.18225744366645813</v>
      </c>
      <c r="O52" s="15">
        <f>Data!O52</f>
        <v>80.407585144042969</v>
      </c>
      <c r="P52" s="17">
        <f>Data!P52</f>
        <v>0.79159999999999997</v>
      </c>
      <c r="Q52" s="17">
        <f>Data!R52</f>
        <v>-1</v>
      </c>
      <c r="R52" s="15">
        <f>Data!Q52</f>
        <v>0.86</v>
      </c>
      <c r="S52" s="15">
        <f t="shared" si="3"/>
        <v>0.79159999999999997</v>
      </c>
    </row>
    <row r="53" spans="1:19" x14ac:dyDescent="0.25">
      <c r="A53" s="15">
        <f>Data!A53</f>
        <v>201810</v>
      </c>
      <c r="B53" s="15">
        <v>80450</v>
      </c>
      <c r="C53" s="15">
        <f>Data!F53</f>
        <v>7887</v>
      </c>
      <c r="D53" s="15">
        <f>IF(Data!D53="Mauritius", 1, 0)</f>
        <v>1</v>
      </c>
      <c r="E53" s="15">
        <f>IF(Regression!A53&gt;201500, 1, 0)</f>
        <v>1</v>
      </c>
      <c r="F53" s="15">
        <f t="shared" si="1"/>
        <v>1</v>
      </c>
      <c r="G53" s="11">
        <f>Data!J53</f>
        <v>9.0425108072736773E-4</v>
      </c>
      <c r="H53" s="11">
        <f t="shared" si="2"/>
        <v>9.0425108072736773E-4</v>
      </c>
      <c r="I53" s="10">
        <f>Data!H53</f>
        <v>1.9274193548387097</v>
      </c>
      <c r="J53" s="10">
        <f>Data!I53</f>
        <v>0.88552039203519117</v>
      </c>
      <c r="K53" s="10">
        <f t="shared" si="0"/>
        <v>0.88646253029831501</v>
      </c>
      <c r="L53" s="17">
        <f>Data!N53</f>
        <v>-0.49187361821865538</v>
      </c>
      <c r="M53" s="15">
        <f>Data!L53</f>
        <v>768.8</v>
      </c>
      <c r="N53" s="15">
        <f>Data!M53</f>
        <v>0.20596474409103394</v>
      </c>
      <c r="O53" s="15">
        <f>Data!O53</f>
        <v>92.0164794921875</v>
      </c>
      <c r="P53" s="17">
        <f>Data!P53</f>
        <v>0.48120000000000002</v>
      </c>
      <c r="Q53" s="17">
        <f>Data!R53</f>
        <v>-1</v>
      </c>
      <c r="R53" s="15">
        <f>Data!Q53</f>
        <v>0.86</v>
      </c>
      <c r="S53" s="15">
        <f t="shared" si="3"/>
        <v>0.48120000000000002</v>
      </c>
    </row>
    <row r="54" spans="1:19" x14ac:dyDescent="0.25">
      <c r="A54" s="15">
        <f>Data!A54</f>
        <v>201809</v>
      </c>
      <c r="B54" s="15">
        <v>80450</v>
      </c>
      <c r="C54" s="15">
        <f>Data!F54</f>
        <v>20669</v>
      </c>
      <c r="D54" s="15">
        <f>IF(Data!D54="Mauritius", 1, 0)</f>
        <v>1</v>
      </c>
      <c r="E54" s="15">
        <f>IF(Regression!A54&gt;201500, 1, 0)</f>
        <v>1</v>
      </c>
      <c r="F54" s="15">
        <f t="shared" si="1"/>
        <v>1</v>
      </c>
      <c r="G54" s="11">
        <f>Data!J54</f>
        <v>1.736281598682815E-3</v>
      </c>
      <c r="H54" s="11">
        <f t="shared" si="2"/>
        <v>1.736281598682815E-3</v>
      </c>
      <c r="I54" s="10">
        <f>Data!H54</f>
        <v>0.87229373285503276</v>
      </c>
      <c r="J54" s="10">
        <f>Data!I54</f>
        <v>0.82516201121965382</v>
      </c>
      <c r="K54" s="10">
        <f t="shared" si="0"/>
        <v>0.82524384516064364</v>
      </c>
      <c r="L54" s="17">
        <f>Data!N54</f>
        <v>-0.95103210695428686</v>
      </c>
      <c r="M54" s="15">
        <f>Data!L54</f>
        <v>768.8</v>
      </c>
      <c r="N54" s="15">
        <f>Data!M54</f>
        <v>0.15539689362049103</v>
      </c>
      <c r="O54" s="15">
        <f>Data!O54</f>
        <v>75.053909301757813</v>
      </c>
      <c r="P54" s="17">
        <f>Data!P54</f>
        <v>0.84930000000000005</v>
      </c>
      <c r="Q54" s="17">
        <f>Data!R54</f>
        <v>-1</v>
      </c>
      <c r="R54" s="15">
        <f>Data!Q54</f>
        <v>0.86</v>
      </c>
      <c r="S54" s="15">
        <f t="shared" si="3"/>
        <v>0.84930000000000005</v>
      </c>
    </row>
    <row r="55" spans="1:19" x14ac:dyDescent="0.25">
      <c r="A55" s="15">
        <f>Data!A55</f>
        <v>201808</v>
      </c>
      <c r="B55" s="15">
        <v>80450</v>
      </c>
      <c r="C55" s="15">
        <f>Data!F55</f>
        <v>11101</v>
      </c>
      <c r="D55" s="15">
        <f>IF(Data!D55="Mauritius", 1, 0)</f>
        <v>1</v>
      </c>
      <c r="E55" s="15">
        <f>IF(Regression!A55&gt;201500, 1, 0)</f>
        <v>1</v>
      </c>
      <c r="F55" s="15">
        <f t="shared" si="1"/>
        <v>1</v>
      </c>
      <c r="G55" s="11">
        <f>Data!J55</f>
        <v>8.2452961109327684E-4</v>
      </c>
      <c r="H55" s="11">
        <f t="shared" si="2"/>
        <v>8.2452961109327684E-4</v>
      </c>
      <c r="I55" s="10">
        <f>Data!H55</f>
        <v>0.74829794405123018</v>
      </c>
      <c r="J55" s="10">
        <f>Data!I55</f>
        <v>0.89076896561192165</v>
      </c>
      <c r="K55" s="10">
        <f t="shared" si="0"/>
        <v>0.89065149403592214</v>
      </c>
      <c r="L55" s="17">
        <f>Data!N55</f>
        <v>6.9135324136604032E-2</v>
      </c>
      <c r="M55" s="15">
        <f>Data!L55</f>
        <v>768.8</v>
      </c>
      <c r="N55" s="15">
        <f>Data!M55</f>
        <v>0.14780311286449432</v>
      </c>
      <c r="O55" s="15">
        <f>Data!O55</f>
        <v>112.74168395996094</v>
      </c>
      <c r="P55" s="17">
        <f>Data!P55</f>
        <v>0.63270000000000004</v>
      </c>
      <c r="Q55" s="17">
        <f>Data!R55</f>
        <v>-1</v>
      </c>
      <c r="R55" s="15">
        <f>Data!Q55</f>
        <v>0.86</v>
      </c>
      <c r="S55" s="15">
        <f t="shared" si="3"/>
        <v>0.63270000000000004</v>
      </c>
    </row>
    <row r="56" spans="1:19" x14ac:dyDescent="0.25">
      <c r="A56" s="15">
        <f>Data!A56</f>
        <v>201807</v>
      </c>
      <c r="B56" s="15">
        <v>80450</v>
      </c>
      <c r="C56" s="15">
        <f>Data!F56</f>
        <v>15422</v>
      </c>
      <c r="D56" s="15">
        <f>IF(Data!D56="Mauritius", 1, 0)</f>
        <v>1</v>
      </c>
      <c r="E56" s="15">
        <f>IF(Regression!A56&gt;201500, 1, 0)</f>
        <v>1</v>
      </c>
      <c r="F56" s="15">
        <f t="shared" si="1"/>
        <v>1</v>
      </c>
      <c r="G56" s="11">
        <f>Data!J56</f>
        <v>1.1703853202626392E-3</v>
      </c>
      <c r="H56" s="11">
        <f t="shared" si="2"/>
        <v>1.1703853202626392E-3</v>
      </c>
      <c r="I56" s="10">
        <f>Data!H56</f>
        <v>1.3158703071672355</v>
      </c>
      <c r="J56" s="10">
        <f>Data!I56</f>
        <v>0.93108714454088859</v>
      </c>
      <c r="K56" s="10">
        <f t="shared" si="0"/>
        <v>0.93153748910591083</v>
      </c>
      <c r="L56" s="17">
        <f>Data!N56</f>
        <v>-4.3096134144031137E-3</v>
      </c>
      <c r="M56" s="15">
        <f>Data!L56</f>
        <v>768.8</v>
      </c>
      <c r="N56" s="15">
        <f>Data!M56</f>
        <v>0.17504163086414337</v>
      </c>
      <c r="O56" s="15">
        <f>Data!O56</f>
        <v>110.02842712402344</v>
      </c>
      <c r="P56" s="17">
        <f>Data!P56</f>
        <v>0.63729999999999998</v>
      </c>
      <c r="Q56" s="17">
        <f>Data!R56</f>
        <v>-1</v>
      </c>
      <c r="R56" s="15">
        <f>Data!Q56</f>
        <v>0.86</v>
      </c>
      <c r="S56" s="15">
        <f t="shared" si="3"/>
        <v>0.63729999999999998</v>
      </c>
    </row>
    <row r="57" spans="1:19" x14ac:dyDescent="0.25">
      <c r="A57" s="15">
        <f>Data!A57</f>
        <v>201806</v>
      </c>
      <c r="B57" s="15">
        <v>80450</v>
      </c>
      <c r="C57" s="15">
        <f>Data!F57</f>
        <v>7357</v>
      </c>
      <c r="D57" s="15">
        <f>IF(Data!D57="Mauritius", 1, 0)</f>
        <v>1</v>
      </c>
      <c r="E57" s="15">
        <f>IF(Regression!A57&gt;201500, 1, 0)</f>
        <v>1</v>
      </c>
      <c r="F57" s="15">
        <f t="shared" si="1"/>
        <v>1</v>
      </c>
      <c r="G57" s="11">
        <f>Data!J57</f>
        <v>4.4477528691391543E-4</v>
      </c>
      <c r="H57" s="11">
        <f t="shared" si="2"/>
        <v>4.4477528691391543E-4</v>
      </c>
      <c r="I57" s="10">
        <f>Data!H57</f>
        <v>2.1019999999999999</v>
      </c>
      <c r="J57" s="10">
        <f>Data!I57</f>
        <v>1.142489204813848</v>
      </c>
      <c r="K57" s="10">
        <f t="shared" si="0"/>
        <v>1.1429159715030739</v>
      </c>
      <c r="L57" s="17">
        <f>Data!N57</f>
        <v>-0.16834287750010463</v>
      </c>
      <c r="M57" s="15">
        <f>Data!L57</f>
        <v>768.8</v>
      </c>
      <c r="N57" s="15">
        <f>Data!M57</f>
        <v>0.16108380258083344</v>
      </c>
      <c r="O57" s="15">
        <f>Data!O57</f>
        <v>103.96858978271484</v>
      </c>
      <c r="P57" s="17">
        <f>Data!P57</f>
        <v>0.62250000000000005</v>
      </c>
      <c r="Q57" s="17">
        <f>Data!R57</f>
        <v>-1</v>
      </c>
      <c r="R57" s="15">
        <f>Data!Q57</f>
        <v>0.86</v>
      </c>
      <c r="S57" s="15">
        <f t="shared" si="3"/>
        <v>0.62250000000000005</v>
      </c>
    </row>
    <row r="58" spans="1:19" x14ac:dyDescent="0.25">
      <c r="A58" s="15">
        <f>Data!A58</f>
        <v>201805</v>
      </c>
      <c r="B58" s="15">
        <v>80450</v>
      </c>
      <c r="C58" s="15">
        <f>Data!F58</f>
        <v>10120</v>
      </c>
      <c r="D58" s="15">
        <f>IF(Data!D58="Mauritius", 1, 0)</f>
        <v>1</v>
      </c>
      <c r="E58" s="15">
        <f>IF(Regression!A58&gt;201500, 1, 0)</f>
        <v>1</v>
      </c>
      <c r="F58" s="15">
        <f t="shared" si="1"/>
        <v>1</v>
      </c>
      <c r="G58" s="11">
        <f>Data!J58</f>
        <v>3.4601949532646304E-4</v>
      </c>
      <c r="H58" s="11">
        <f t="shared" si="2"/>
        <v>3.4601949532646304E-4</v>
      </c>
      <c r="I58" s="10">
        <f>Data!H58</f>
        <v>2.6807947019867551</v>
      </c>
      <c r="J58" s="10">
        <f>Data!I58</f>
        <v>1.3560176342663179</v>
      </c>
      <c r="K58" s="10">
        <f t="shared" si="0"/>
        <v>1.3564760329587109</v>
      </c>
      <c r="L58" s="17">
        <f>Data!N58</f>
        <v>0.41899936440955066</v>
      </c>
      <c r="M58" s="15">
        <f>Data!L58</f>
        <v>768.8</v>
      </c>
      <c r="N58" s="15">
        <f>Data!M58</f>
        <v>0.28573828935623169</v>
      </c>
      <c r="O58" s="15">
        <f>Data!O58</f>
        <v>125.66661834716797</v>
      </c>
      <c r="P58" s="17">
        <f>Data!P58</f>
        <v>0.94</v>
      </c>
      <c r="Q58" s="17">
        <f>Data!R58</f>
        <v>-1</v>
      </c>
      <c r="R58" s="15">
        <f>Data!Q58</f>
        <v>0.86</v>
      </c>
      <c r="S58" s="15">
        <f t="shared" si="3"/>
        <v>0.94</v>
      </c>
    </row>
    <row r="59" spans="1:19" x14ac:dyDescent="0.25">
      <c r="A59" s="15">
        <f>Data!A59</f>
        <v>201803</v>
      </c>
      <c r="B59" s="15">
        <v>80450</v>
      </c>
      <c r="C59" s="15">
        <f>Data!F59</f>
        <v>7974</v>
      </c>
      <c r="D59" s="15">
        <f>IF(Data!D59="Mauritius", 1, 0)</f>
        <v>1</v>
      </c>
      <c r="E59" s="15">
        <f>IF(Regression!A59&gt;201500, 1, 0)</f>
        <v>1</v>
      </c>
      <c r="F59" s="15">
        <f t="shared" si="1"/>
        <v>1</v>
      </c>
      <c r="G59" s="11">
        <f>Data!J59</f>
        <v>5.264168992103746E-4</v>
      </c>
      <c r="H59" s="11">
        <f t="shared" si="2"/>
        <v>5.264168992103746E-4</v>
      </c>
      <c r="I59" s="10">
        <f>Data!H59</f>
        <v>1.772</v>
      </c>
      <c r="J59" s="10">
        <f>Data!I59</f>
        <v>1.1721498370579335</v>
      </c>
      <c r="K59" s="10">
        <f t="shared" si="0"/>
        <v>1.1724656083207003</v>
      </c>
      <c r="L59" s="17">
        <f>Data!N59</f>
        <v>4.8038119609281726E-2</v>
      </c>
      <c r="M59" s="15">
        <f>Data!L59</f>
        <v>768.8</v>
      </c>
      <c r="N59" s="15">
        <f>Data!M59</f>
        <v>0.1322433203458786</v>
      </c>
      <c r="O59" s="15">
        <f>Data!O59</f>
        <v>111.96229553222656</v>
      </c>
      <c r="P59" s="17">
        <f>Data!P59</f>
        <v>0.48809999999999998</v>
      </c>
      <c r="Q59" s="17">
        <f>Data!R59</f>
        <v>-1</v>
      </c>
      <c r="R59" s="15">
        <f>Data!Q59</f>
        <v>0.86</v>
      </c>
      <c r="S59" s="15">
        <f t="shared" si="3"/>
        <v>0.48809999999999998</v>
      </c>
    </row>
    <row r="60" spans="1:19" x14ac:dyDescent="0.25">
      <c r="A60" s="15">
        <f>Data!A60</f>
        <v>201801</v>
      </c>
      <c r="B60" s="15">
        <v>80450</v>
      </c>
      <c r="C60" s="15">
        <f>Data!F60</f>
        <v>696</v>
      </c>
      <c r="D60" s="15">
        <f>IF(Data!D60="Mauritius", 1, 0)</f>
        <v>1</v>
      </c>
      <c r="E60" s="15">
        <f>IF(Regression!A60&gt;201500, 1, 0)</f>
        <v>1</v>
      </c>
      <c r="F60" s="15">
        <f t="shared" si="1"/>
        <v>1</v>
      </c>
      <c r="G60" s="11">
        <f>Data!J60</f>
        <v>7.5795972053937981E-5</v>
      </c>
      <c r="H60" s="11">
        <f t="shared" si="2"/>
        <v>7.5795972053937981E-5</v>
      </c>
      <c r="I60" s="10">
        <f>Data!H60</f>
        <v>23.2</v>
      </c>
      <c r="J60" s="10">
        <f>Data!I60</f>
        <v>0.8812220369951137</v>
      </c>
      <c r="K60" s="10">
        <f t="shared" si="0"/>
        <v>0.88291371046587563</v>
      </c>
      <c r="L60" s="17">
        <f>Data!N60</f>
        <v>-0.48076700030605707</v>
      </c>
      <c r="M60" s="15">
        <f>Data!L60</f>
        <v>768.8</v>
      </c>
      <c r="N60" s="15">
        <f>Data!M60</f>
        <v>0.17787419259548187</v>
      </c>
      <c r="O60" s="15">
        <f>Data!O60</f>
        <v>92.426788330078125</v>
      </c>
      <c r="P60" s="17">
        <f>Data!P60</f>
        <v>1</v>
      </c>
      <c r="Q60" s="17">
        <f>Data!R60</f>
        <v>-1</v>
      </c>
      <c r="R60" s="15">
        <f>Data!Q60</f>
        <v>0.86</v>
      </c>
      <c r="S60" s="15">
        <f t="shared" si="3"/>
        <v>1</v>
      </c>
    </row>
    <row r="61" spans="1:19" x14ac:dyDescent="0.25">
      <c r="A61" s="15">
        <f>Data!A61</f>
        <v>201712</v>
      </c>
      <c r="B61" s="15">
        <v>80450</v>
      </c>
      <c r="C61" s="15">
        <f>Data!F61</f>
        <v>8484</v>
      </c>
      <c r="D61" s="15">
        <f>IF(Data!D61="Mauritius", 1, 0)</f>
        <v>1</v>
      </c>
      <c r="E61" s="15">
        <f>IF(Regression!A61&gt;201500, 1, 0)</f>
        <v>1</v>
      </c>
      <c r="F61" s="15">
        <f t="shared" si="1"/>
        <v>1</v>
      </c>
      <c r="G61" s="11">
        <f>Data!J61</f>
        <v>8.9125539162764099E-4</v>
      </c>
      <c r="H61" s="11">
        <f t="shared" si="2"/>
        <v>8.9125539162764099E-4</v>
      </c>
      <c r="I61" s="10">
        <f>Data!H61</f>
        <v>1.784977908689249</v>
      </c>
      <c r="J61" s="10">
        <f>Data!I61</f>
        <v>0.92317030014516976</v>
      </c>
      <c r="K61" s="10">
        <f t="shared" si="0"/>
        <v>0.92393839082283047</v>
      </c>
      <c r="L61" s="17">
        <f>Data!N61</f>
        <v>-0.74356655601981447</v>
      </c>
      <c r="M61" s="15">
        <f>Data!L61</f>
        <v>809.6</v>
      </c>
      <c r="N61" s="15">
        <f>Data!M61</f>
        <v>6.3967831432819366E-2</v>
      </c>
      <c r="O61" s="15">
        <f>Data!O61</f>
        <v>82.718254089355469</v>
      </c>
      <c r="P61" s="17">
        <f>Data!P61</f>
        <v>0.54249999999999998</v>
      </c>
      <c r="Q61" s="17">
        <f>Data!R61</f>
        <v>-0.77</v>
      </c>
      <c r="R61" s="15">
        <f>Data!Q61</f>
        <v>0.96</v>
      </c>
      <c r="S61" s="15">
        <f t="shared" si="3"/>
        <v>0.54249999999999998</v>
      </c>
    </row>
    <row r="62" spans="1:19" x14ac:dyDescent="0.25">
      <c r="A62" s="15">
        <f>Data!A62</f>
        <v>201711</v>
      </c>
      <c r="B62" s="15">
        <v>80450</v>
      </c>
      <c r="C62" s="15">
        <f>Data!F62</f>
        <v>771</v>
      </c>
      <c r="D62" s="15">
        <f>IF(Data!D62="Mauritius", 1, 0)</f>
        <v>1</v>
      </c>
      <c r="E62" s="15">
        <f>IF(Regression!A62&gt;201500, 1, 0)</f>
        <v>1</v>
      </c>
      <c r="F62" s="15">
        <f t="shared" si="1"/>
        <v>1</v>
      </c>
      <c r="G62" s="11">
        <f>Data!J62</f>
        <v>6.5346708360861308E-5</v>
      </c>
      <c r="H62" s="11">
        <f t="shared" si="2"/>
        <v>6.5346708360861308E-5</v>
      </c>
      <c r="I62" s="10">
        <f>Data!H62</f>
        <v>1.2849999999999999</v>
      </c>
      <c r="J62" s="10">
        <f>Data!I62</f>
        <v>0.87469271858987019</v>
      </c>
      <c r="K62" s="10">
        <f t="shared" si="0"/>
        <v>0.87471953082012677</v>
      </c>
      <c r="L62" s="17">
        <f>Data!N62</f>
        <v>-0.47618619160543707</v>
      </c>
      <c r="M62" s="15">
        <f>Data!L62</f>
        <v>809.6</v>
      </c>
      <c r="N62" s="15">
        <f>Data!M62</f>
        <v>0.15569768846035004</v>
      </c>
      <c r="O62" s="15">
        <f>Data!O62</f>
        <v>92.596015930175781</v>
      </c>
      <c r="P62" s="17">
        <f>Data!P62</f>
        <v>0.73009999999999997</v>
      </c>
      <c r="Q62" s="17">
        <f>Data!R62</f>
        <v>-0.77</v>
      </c>
      <c r="R62" s="15">
        <f>Data!Q62</f>
        <v>0.96</v>
      </c>
      <c r="S62" s="15">
        <f t="shared" si="3"/>
        <v>0.73009999999999997</v>
      </c>
    </row>
    <row r="63" spans="1:19" x14ac:dyDescent="0.25">
      <c r="A63" s="15">
        <f>Data!A63</f>
        <v>201710</v>
      </c>
      <c r="B63" s="15">
        <v>80450</v>
      </c>
      <c r="C63" s="15">
        <f>Data!F63</f>
        <v>9178</v>
      </c>
      <c r="D63" s="15">
        <f>IF(Data!D63="Mauritius", 1, 0)</f>
        <v>1</v>
      </c>
      <c r="E63" s="15">
        <f>IF(Regression!A63&gt;201500, 1, 0)</f>
        <v>1</v>
      </c>
      <c r="F63" s="15">
        <f t="shared" si="1"/>
        <v>1</v>
      </c>
      <c r="G63" s="11">
        <f>Data!J63</f>
        <v>9.5809188349611047E-4</v>
      </c>
      <c r="H63" s="11">
        <f t="shared" si="2"/>
        <v>9.5809188349611047E-4</v>
      </c>
      <c r="I63" s="10">
        <f>Data!H63</f>
        <v>1.0489142857142857</v>
      </c>
      <c r="J63" s="10">
        <f>Data!I63</f>
        <v>0.91454321657353166</v>
      </c>
      <c r="K63" s="10">
        <f t="shared" si="0"/>
        <v>0.91467195640425203</v>
      </c>
      <c r="L63" s="17">
        <f>Data!N63</f>
        <v>-0.50689439993373553</v>
      </c>
      <c r="M63" s="15">
        <f>Data!L63</f>
        <v>809.6</v>
      </c>
      <c r="N63" s="15">
        <f>Data!M63</f>
        <v>0.12174336612224579</v>
      </c>
      <c r="O63" s="15">
        <f>Data!O63</f>
        <v>91.461570739746094</v>
      </c>
      <c r="P63" s="17">
        <f>Data!P63</f>
        <v>0.86729999999999996</v>
      </c>
      <c r="Q63" s="17">
        <f>Data!R63</f>
        <v>-0.77</v>
      </c>
      <c r="R63" s="15">
        <f>Data!Q63</f>
        <v>0.96</v>
      </c>
      <c r="S63" s="15">
        <f t="shared" si="3"/>
        <v>0.86729999999999996</v>
      </c>
    </row>
    <row r="64" spans="1:19" x14ac:dyDescent="0.25">
      <c r="A64" s="15">
        <f>Data!A64</f>
        <v>201709</v>
      </c>
      <c r="B64" s="15">
        <v>80450</v>
      </c>
      <c r="C64" s="15">
        <f>Data!F64</f>
        <v>9971</v>
      </c>
      <c r="D64" s="15">
        <f>IF(Data!D64="Mauritius", 1, 0)</f>
        <v>1</v>
      </c>
      <c r="E64" s="15">
        <f>IF(Regression!A64&gt;201500, 1, 0)</f>
        <v>1</v>
      </c>
      <c r="F64" s="15">
        <f t="shared" si="1"/>
        <v>1</v>
      </c>
      <c r="G64" s="11">
        <f>Data!J64</f>
        <v>7.1117546155793855E-4</v>
      </c>
      <c r="H64" s="11">
        <f t="shared" si="2"/>
        <v>7.1117546155793855E-4</v>
      </c>
      <c r="I64" s="10">
        <f>Data!H64</f>
        <v>1.9902195608782436</v>
      </c>
      <c r="J64" s="10">
        <f>Data!I64</f>
        <v>0.92498536861298142</v>
      </c>
      <c r="K64" s="10">
        <f t="shared" si="0"/>
        <v>0.92574293703133304</v>
      </c>
      <c r="L64" s="17">
        <f>Data!N64</f>
        <v>0.14473240124259792</v>
      </c>
      <c r="M64" s="15">
        <f>Data!L64</f>
        <v>809.6</v>
      </c>
      <c r="N64" s="15">
        <f>Data!M64</f>
        <v>0.28461575508117676</v>
      </c>
      <c r="O64" s="15">
        <f>Data!O64</f>
        <v>115.53444671630859</v>
      </c>
      <c r="P64" s="17">
        <f>Data!P64</f>
        <v>0.56420000000000003</v>
      </c>
      <c r="Q64" s="17">
        <f>Data!R64</f>
        <v>-0.77</v>
      </c>
      <c r="R64" s="15">
        <f>Data!Q64</f>
        <v>0.96</v>
      </c>
      <c r="S64" s="15">
        <f t="shared" si="3"/>
        <v>0.56420000000000003</v>
      </c>
    </row>
    <row r="65" spans="1:19" x14ac:dyDescent="0.25">
      <c r="A65" s="15">
        <f>Data!A65</f>
        <v>201706</v>
      </c>
      <c r="B65" s="15">
        <v>80450</v>
      </c>
      <c r="C65" s="15">
        <f>Data!F65</f>
        <v>19045</v>
      </c>
      <c r="D65" s="15">
        <f>IF(Data!D65="Mauritius", 1, 0)</f>
        <v>1</v>
      </c>
      <c r="E65" s="15">
        <f>IF(Regression!A65&gt;201500, 1, 0)</f>
        <v>1</v>
      </c>
      <c r="F65" s="15">
        <f t="shared" si="1"/>
        <v>1</v>
      </c>
      <c r="G65" s="11">
        <f>Data!J65</f>
        <v>9.3368058701324573E-4</v>
      </c>
      <c r="H65" s="11">
        <f t="shared" si="2"/>
        <v>9.3368058701324573E-4</v>
      </c>
      <c r="I65" s="10">
        <f>Data!H65</f>
        <v>1.7849109653233364</v>
      </c>
      <c r="J65" s="10">
        <f>Data!I65</f>
        <v>1.1674273421598591</v>
      </c>
      <c r="K65" s="10">
        <f t="shared" si="0"/>
        <v>1.1680038746316055</v>
      </c>
      <c r="L65" s="17">
        <f>Data!N65</f>
        <v>0.44938147847076115</v>
      </c>
      <c r="M65" s="15">
        <f>Data!L65</f>
        <v>809.6</v>
      </c>
      <c r="N65" s="15">
        <f>Data!M65</f>
        <v>0.2270381897687912</v>
      </c>
      <c r="O65" s="15">
        <f>Data!O65</f>
        <v>126.78901672363281</v>
      </c>
      <c r="P65" s="17">
        <f>Data!P65</f>
        <v>1</v>
      </c>
      <c r="Q65" s="17">
        <f>Data!R65</f>
        <v>-0.77</v>
      </c>
      <c r="R65" s="15">
        <f>Data!Q65</f>
        <v>0.96</v>
      </c>
      <c r="S65" s="15">
        <f t="shared" si="3"/>
        <v>1</v>
      </c>
    </row>
    <row r="66" spans="1:19" x14ac:dyDescent="0.25">
      <c r="A66" s="15">
        <f>Data!A66</f>
        <v>201705</v>
      </c>
      <c r="B66" s="15">
        <v>80450</v>
      </c>
      <c r="C66" s="15">
        <f>Data!F66</f>
        <v>7905</v>
      </c>
      <c r="D66" s="15">
        <f>IF(Data!D66="Mauritius", 1, 0)</f>
        <v>1</v>
      </c>
      <c r="E66" s="15">
        <f>IF(Regression!A66&gt;201500, 1, 0)</f>
        <v>1</v>
      </c>
      <c r="F66" s="15">
        <f t="shared" si="1"/>
        <v>1</v>
      </c>
      <c r="G66" s="11">
        <f>Data!J66</f>
        <v>2.898780312056176E-4</v>
      </c>
      <c r="H66" s="11">
        <f t="shared" si="2"/>
        <v>2.898780312056176E-4</v>
      </c>
      <c r="I66" s="10">
        <f>Data!H66</f>
        <v>2.180088251516823</v>
      </c>
      <c r="J66" s="10">
        <f>Data!I66</f>
        <v>1.231242075344452</v>
      </c>
      <c r="K66" s="10">
        <f t="shared" ref="K66:K129" si="4">(I66*G66)+(J66*(1-G66))</f>
        <v>1.2315171250059178</v>
      </c>
      <c r="L66" s="17">
        <f>Data!N66</f>
        <v>-0.20593148899642333</v>
      </c>
      <c r="M66" s="15">
        <f>Data!L66</f>
        <v>809.6</v>
      </c>
      <c r="N66" s="15">
        <f>Data!M66</f>
        <v>9.1389112174510956E-2</v>
      </c>
      <c r="O66" s="15">
        <f>Data!O66</f>
        <v>102.57996368408203</v>
      </c>
      <c r="P66" s="17">
        <f>Data!P66</f>
        <v>0.18440000000000001</v>
      </c>
      <c r="Q66" s="17">
        <f>Data!R66</f>
        <v>-0.77</v>
      </c>
      <c r="R66" s="15">
        <f>Data!Q66</f>
        <v>0.96</v>
      </c>
      <c r="S66" s="15">
        <f t="shared" si="3"/>
        <v>0.18440000000000001</v>
      </c>
    </row>
    <row r="67" spans="1:19" x14ac:dyDescent="0.25">
      <c r="A67" s="15">
        <f>Data!A67</f>
        <v>201704</v>
      </c>
      <c r="B67" s="15">
        <v>80450</v>
      </c>
      <c r="C67" s="15">
        <f>Data!F67</f>
        <v>18758</v>
      </c>
      <c r="D67" s="15">
        <f>IF(Data!D67="Mauritius", 1, 0)</f>
        <v>1</v>
      </c>
      <c r="E67" s="15">
        <f>IF(Regression!A67&gt;201500, 1, 0)</f>
        <v>1</v>
      </c>
      <c r="F67" s="15">
        <f t="shared" ref="F67:F130" si="5">D67*E67</f>
        <v>1</v>
      </c>
      <c r="G67" s="11">
        <f>Data!J67</f>
        <v>8.5997858718419185E-4</v>
      </c>
      <c r="H67" s="11">
        <f t="shared" ref="H67:H130" si="6">F67*G67</f>
        <v>8.5997858718419185E-4</v>
      </c>
      <c r="I67" s="10">
        <f>Data!H67</f>
        <v>1.0421111111111112</v>
      </c>
      <c r="J67" s="10">
        <f>Data!I67</f>
        <v>1.2274468399878697</v>
      </c>
      <c r="K67" s="10">
        <f t="shared" si="4"/>
        <v>1.2272874552295956</v>
      </c>
      <c r="L67" s="17">
        <f>Data!N67</f>
        <v>0.25099080675375607</v>
      </c>
      <c r="M67" s="15">
        <f>Data!L67</f>
        <v>809.6</v>
      </c>
      <c r="N67" s="15">
        <f>Data!M67</f>
        <v>0.14710518717765808</v>
      </c>
      <c r="O67" s="15">
        <f>Data!O67</f>
        <v>119.45992279052734</v>
      </c>
      <c r="P67" s="17">
        <f>Data!P67</f>
        <v>0.76949999999999996</v>
      </c>
      <c r="Q67" s="17">
        <f>Data!R67</f>
        <v>-0.77</v>
      </c>
      <c r="R67" s="15">
        <f>Data!Q67</f>
        <v>0.96</v>
      </c>
      <c r="S67" s="15">
        <f t="shared" ref="S67:S130" si="7">P67*F67</f>
        <v>0.76949999999999996</v>
      </c>
    </row>
    <row r="68" spans="1:19" x14ac:dyDescent="0.25">
      <c r="A68" s="15">
        <f>Data!A68</f>
        <v>201701</v>
      </c>
      <c r="B68" s="15">
        <v>80450</v>
      </c>
      <c r="C68" s="15">
        <f>Data!F68</f>
        <v>359</v>
      </c>
      <c r="D68" s="15">
        <f>IF(Data!D68="Mauritius", 1, 0)</f>
        <v>1</v>
      </c>
      <c r="E68" s="15">
        <f>IF(Regression!A68&gt;201500, 1, 0)</f>
        <v>1</v>
      </c>
      <c r="F68" s="15">
        <f t="shared" si="5"/>
        <v>1</v>
      </c>
      <c r="G68" s="11">
        <f>Data!J68</f>
        <v>3.012209180223496E-5</v>
      </c>
      <c r="H68" s="11">
        <f t="shared" si="6"/>
        <v>3.012209180223496E-5</v>
      </c>
      <c r="I68" s="10">
        <f>Data!H68</f>
        <v>1.1966666666666668</v>
      </c>
      <c r="J68" s="10">
        <f>Data!I68</f>
        <v>0.94221639342396024</v>
      </c>
      <c r="K68" s="10">
        <f t="shared" si="4"/>
        <v>0.94222405799844999</v>
      </c>
      <c r="L68" s="17">
        <f>Data!N68</f>
        <v>-0.13497655687814578</v>
      </c>
      <c r="M68" s="15">
        <f>Data!L68</f>
        <v>809.6</v>
      </c>
      <c r="N68" s="15">
        <f>Data!M68</f>
        <v>0.18233387172222137</v>
      </c>
      <c r="O68" s="15">
        <f>Data!O68</f>
        <v>105.20123291015625</v>
      </c>
      <c r="P68" s="17">
        <f>Data!P68</f>
        <v>0.41420000000000001</v>
      </c>
      <c r="Q68" s="17">
        <f>Data!R68</f>
        <v>-0.77</v>
      </c>
      <c r="R68" s="15">
        <f>Data!Q68</f>
        <v>0.96</v>
      </c>
      <c r="S68" s="15">
        <f t="shared" si="7"/>
        <v>0.41420000000000001</v>
      </c>
    </row>
    <row r="69" spans="1:19" x14ac:dyDescent="0.25">
      <c r="A69" s="15">
        <f>Data!A69</f>
        <v>201612</v>
      </c>
      <c r="B69" s="15">
        <v>80450</v>
      </c>
      <c r="C69" s="15">
        <f>Data!F69</f>
        <v>360</v>
      </c>
      <c r="D69" s="15">
        <f>IF(Data!D69="Mauritius", 1, 0)</f>
        <v>1</v>
      </c>
      <c r="E69" s="15">
        <f>IF(Regression!A69&gt;201500, 1, 0)</f>
        <v>1</v>
      </c>
      <c r="F69" s="15">
        <f t="shared" si="5"/>
        <v>1</v>
      </c>
      <c r="G69" s="11">
        <f>Data!J69</f>
        <v>2.6424847989226882E-5</v>
      </c>
      <c r="H69" s="11">
        <f t="shared" si="6"/>
        <v>2.6424847989226882E-5</v>
      </c>
      <c r="I69" s="10">
        <f>Data!H69</f>
        <v>0.9</v>
      </c>
      <c r="J69" s="10">
        <f>Data!I69</f>
        <v>0.82419783350388742</v>
      </c>
      <c r="K69" s="10">
        <f t="shared" si="4"/>
        <v>0.82419983656461437</v>
      </c>
      <c r="L69" s="17">
        <f>Data!N69</f>
        <v>-0.21674546879853165</v>
      </c>
      <c r="M69" s="15">
        <f>Data!L69</f>
        <v>748.3</v>
      </c>
      <c r="N69" s="15">
        <f>Data!M69</f>
        <v>0.16102194786071777</v>
      </c>
      <c r="O69" s="15">
        <f>Data!O69</f>
        <v>102.18046569824219</v>
      </c>
      <c r="P69" s="17">
        <f>Data!P69</f>
        <v>9.4500000000000001E-2</v>
      </c>
      <c r="Q69" s="17">
        <f>Data!R69</f>
        <v>-0.96</v>
      </c>
      <c r="R69" s="15">
        <f>Data!Q69</f>
        <v>1</v>
      </c>
      <c r="S69" s="15">
        <f t="shared" si="7"/>
        <v>9.4500000000000001E-2</v>
      </c>
    </row>
    <row r="70" spans="1:19" x14ac:dyDescent="0.25">
      <c r="A70" s="15">
        <f>Data!A70</f>
        <v>201610</v>
      </c>
      <c r="B70" s="15">
        <v>80450</v>
      </c>
      <c r="C70" s="15">
        <f>Data!F70</f>
        <v>1166</v>
      </c>
      <c r="D70" s="15">
        <f>IF(Data!D70="Mauritius", 1, 0)</f>
        <v>1</v>
      </c>
      <c r="E70" s="15">
        <f>IF(Regression!A70&gt;201500, 1, 0)</f>
        <v>1</v>
      </c>
      <c r="F70" s="15">
        <f t="shared" si="5"/>
        <v>1</v>
      </c>
      <c r="G70" s="11">
        <f>Data!J70</f>
        <v>7.9816359396500702E-5</v>
      </c>
      <c r="H70" s="11">
        <f t="shared" si="6"/>
        <v>7.9816359396500702E-5</v>
      </c>
      <c r="I70" s="10">
        <f>Data!H70</f>
        <v>1.7351190476190477</v>
      </c>
      <c r="J70" s="10">
        <f>Data!I70</f>
        <v>0.97</v>
      </c>
      <c r="K70" s="10">
        <f t="shared" si="4"/>
        <v>0.97006106901688582</v>
      </c>
      <c r="L70" s="17">
        <f>Data!N70</f>
        <v>-0.66156035321096496</v>
      </c>
      <c r="M70" s="15">
        <f>Data!L70</f>
        <v>748.3</v>
      </c>
      <c r="N70" s="15">
        <f>Data!M70</f>
        <v>0.16687935590744019</v>
      </c>
      <c r="O70" s="15">
        <f>Data!O70</f>
        <v>85.747787475585938</v>
      </c>
      <c r="P70" s="17">
        <f>Data!P70</f>
        <v>0.4914</v>
      </c>
      <c r="Q70" s="17">
        <f>Data!R70</f>
        <v>-0.96</v>
      </c>
      <c r="R70" s="15">
        <f>Data!Q70</f>
        <v>1</v>
      </c>
      <c r="S70" s="15">
        <f t="shared" si="7"/>
        <v>0.4914</v>
      </c>
    </row>
    <row r="71" spans="1:19" x14ac:dyDescent="0.25">
      <c r="A71" s="15">
        <f>Data!A71</f>
        <v>201609</v>
      </c>
      <c r="B71" s="15">
        <v>80450</v>
      </c>
      <c r="C71" s="15">
        <f>Data!F71</f>
        <v>20425</v>
      </c>
      <c r="D71" s="15">
        <f>IF(Data!D71="Mauritius", 1, 0)</f>
        <v>1</v>
      </c>
      <c r="E71" s="15">
        <f>IF(Regression!A71&gt;201500, 1, 0)</f>
        <v>1</v>
      </c>
      <c r="F71" s="15">
        <f t="shared" si="5"/>
        <v>1</v>
      </c>
      <c r="G71" s="11">
        <f>Data!J71</f>
        <v>1.4077282870059201E-3</v>
      </c>
      <c r="H71" s="11">
        <f t="shared" si="6"/>
        <v>1.4077282870059201E-3</v>
      </c>
      <c r="I71" s="10">
        <f>Data!H71</f>
        <v>1.1197916666666667</v>
      </c>
      <c r="J71" s="10">
        <f>Data!I71</f>
        <v>0.98193344868140853</v>
      </c>
      <c r="K71" s="10">
        <f t="shared" si="4"/>
        <v>0.98212751559446254</v>
      </c>
      <c r="L71" s="17">
        <f>Data!N71</f>
        <v>-0.15273392829125201</v>
      </c>
      <c r="M71" s="15">
        <f>Data!L71</f>
        <v>748.3</v>
      </c>
      <c r="N71" s="15">
        <f>Data!M71</f>
        <v>0.17644686996936798</v>
      </c>
      <c r="O71" s="15">
        <f>Data!O71</f>
        <v>104.54522705078125</v>
      </c>
      <c r="P71" s="17">
        <f>Data!P71</f>
        <v>0.98499999999999999</v>
      </c>
      <c r="Q71" s="17">
        <f>Data!R71</f>
        <v>-0.96</v>
      </c>
      <c r="R71" s="15">
        <f>Data!Q71</f>
        <v>1</v>
      </c>
      <c r="S71" s="15">
        <f t="shared" si="7"/>
        <v>0.98499999999999999</v>
      </c>
    </row>
    <row r="72" spans="1:19" x14ac:dyDescent="0.25">
      <c r="A72" s="15">
        <f>Data!A72</f>
        <v>201607</v>
      </c>
      <c r="B72" s="15">
        <v>80450</v>
      </c>
      <c r="C72" s="15">
        <f>Data!F72</f>
        <v>24368</v>
      </c>
      <c r="D72" s="15">
        <f>IF(Data!D72="Mauritius", 1, 0)</f>
        <v>1</v>
      </c>
      <c r="E72" s="15">
        <f>IF(Regression!A72&gt;201500, 1, 0)</f>
        <v>1</v>
      </c>
      <c r="F72" s="15">
        <f t="shared" si="5"/>
        <v>1</v>
      </c>
      <c r="G72" s="11">
        <f>Data!J72</f>
        <v>1.6558581963485772E-3</v>
      </c>
      <c r="H72" s="11">
        <f t="shared" si="6"/>
        <v>1.6558581963485772E-3</v>
      </c>
      <c r="I72" s="10">
        <f>Data!H72</f>
        <v>1.2123383084577115</v>
      </c>
      <c r="J72" s="10">
        <f>Data!I72</f>
        <v>1.0635519173547554</v>
      </c>
      <c r="K72" s="10">
        <f t="shared" si="4"/>
        <v>1.0637982865199682</v>
      </c>
      <c r="L72" s="17">
        <f>Data!N72</f>
        <v>0.11972082639330855</v>
      </c>
      <c r="M72" s="15">
        <f>Data!L72</f>
        <v>748.3</v>
      </c>
      <c r="N72" s="15">
        <f>Data!M72</f>
        <v>0.27500858902931213</v>
      </c>
      <c r="O72" s="15">
        <f>Data!O72</f>
        <v>114.61045074462891</v>
      </c>
      <c r="P72" s="17">
        <f>Data!P72</f>
        <v>1</v>
      </c>
      <c r="Q72" s="17">
        <f>Data!R72</f>
        <v>-0.96</v>
      </c>
      <c r="R72" s="15">
        <f>Data!Q72</f>
        <v>1</v>
      </c>
      <c r="S72" s="15">
        <f t="shared" si="7"/>
        <v>1</v>
      </c>
    </row>
    <row r="73" spans="1:19" x14ac:dyDescent="0.25">
      <c r="A73" s="15">
        <f>Data!A73</f>
        <v>201606</v>
      </c>
      <c r="B73" s="15">
        <v>80450</v>
      </c>
      <c r="C73" s="15">
        <f>Data!F73</f>
        <v>3070</v>
      </c>
      <c r="D73" s="15">
        <f>IF(Data!D73="Mauritius", 1, 0)</f>
        <v>1</v>
      </c>
      <c r="E73" s="15">
        <f>IF(Regression!A73&gt;201500, 1, 0)</f>
        <v>1</v>
      </c>
      <c r="F73" s="15">
        <f t="shared" si="5"/>
        <v>1</v>
      </c>
      <c r="G73" s="11">
        <f>Data!J73</f>
        <v>1.464034164739419E-4</v>
      </c>
      <c r="H73" s="11">
        <f t="shared" si="6"/>
        <v>1.464034164739419E-4</v>
      </c>
      <c r="I73" s="10">
        <f>Data!H73</f>
        <v>2.4365079365079363</v>
      </c>
      <c r="J73" s="10">
        <f>Data!I73</f>
        <v>1.1988154001637565</v>
      </c>
      <c r="K73" s="10">
        <f t="shared" si="4"/>
        <v>1.1989966025796215</v>
      </c>
      <c r="L73" s="17">
        <f>Data!N73</f>
        <v>-0.54190647433303718</v>
      </c>
      <c r="M73" s="15">
        <f>Data!L73</f>
        <v>748.3</v>
      </c>
      <c r="N73" s="15">
        <f>Data!M73</f>
        <v>0.10855713486671448</v>
      </c>
      <c r="O73" s="15">
        <f>Data!O73</f>
        <v>90.168128967285156</v>
      </c>
      <c r="P73" s="17">
        <f>Data!P73</f>
        <v>0.9929</v>
      </c>
      <c r="Q73" s="17">
        <f>Data!R73</f>
        <v>-0.96</v>
      </c>
      <c r="R73" s="15">
        <f>Data!Q73</f>
        <v>1</v>
      </c>
      <c r="S73" s="15">
        <f t="shared" si="7"/>
        <v>0.9929</v>
      </c>
    </row>
    <row r="74" spans="1:19" x14ac:dyDescent="0.25">
      <c r="A74" s="15">
        <f>Data!A74</f>
        <v>201605</v>
      </c>
      <c r="B74" s="15">
        <v>80450</v>
      </c>
      <c r="C74" s="15">
        <f>Data!F74</f>
        <v>7944</v>
      </c>
      <c r="D74" s="15">
        <f>IF(Data!D74="Mauritius", 1, 0)</f>
        <v>1</v>
      </c>
      <c r="E74" s="15">
        <f>IF(Regression!A74&gt;201500, 1, 0)</f>
        <v>1</v>
      </c>
      <c r="F74" s="15">
        <f t="shared" si="5"/>
        <v>1</v>
      </c>
      <c r="G74" s="11">
        <f>Data!J74</f>
        <v>2.5087849317273529E-4</v>
      </c>
      <c r="H74" s="11">
        <f t="shared" si="6"/>
        <v>2.5087849317273529E-4</v>
      </c>
      <c r="I74" s="10">
        <f>Data!H74</f>
        <v>2.4594427244582042</v>
      </c>
      <c r="J74" s="10">
        <f>Data!I74</f>
        <v>1.2290629015399883</v>
      </c>
      <c r="K74" s="10">
        <f t="shared" si="4"/>
        <v>1.2293715773759921</v>
      </c>
      <c r="L74" s="17">
        <f>Data!N74</f>
        <v>-0.59159712766048755</v>
      </c>
      <c r="M74" s="15">
        <f>Data!L74</f>
        <v>748.3</v>
      </c>
      <c r="N74" s="15">
        <f>Data!M74</f>
        <v>8.1941090524196625E-2</v>
      </c>
      <c r="O74" s="15">
        <f>Data!O74</f>
        <v>88.332420349121094</v>
      </c>
      <c r="P74" s="17">
        <f>Data!P74</f>
        <v>0.99009999999999998</v>
      </c>
      <c r="Q74" s="17">
        <f>Data!R74</f>
        <v>-0.96</v>
      </c>
      <c r="R74" s="15">
        <f>Data!Q74</f>
        <v>1</v>
      </c>
      <c r="S74" s="15">
        <f t="shared" si="7"/>
        <v>0.99009999999999998</v>
      </c>
    </row>
    <row r="75" spans="1:19" x14ac:dyDescent="0.25">
      <c r="A75" s="15">
        <f>Data!A75</f>
        <v>201601</v>
      </c>
      <c r="B75" s="15">
        <v>80450</v>
      </c>
      <c r="C75" s="15">
        <f>Data!F75</f>
        <v>904</v>
      </c>
      <c r="D75" s="15">
        <f>IF(Data!D75="Mauritius", 1, 0)</f>
        <v>1</v>
      </c>
      <c r="E75" s="15">
        <f>IF(Regression!A75&gt;201500, 1, 0)</f>
        <v>1</v>
      </c>
      <c r="F75" s="15">
        <f t="shared" si="5"/>
        <v>1</v>
      </c>
      <c r="G75" s="11">
        <f>Data!J75</f>
        <v>9.2863711409169836E-5</v>
      </c>
      <c r="H75" s="11">
        <f t="shared" si="6"/>
        <v>9.2863711409169836E-5</v>
      </c>
      <c r="I75" s="10">
        <f>Data!H75</f>
        <v>0.90400000000000003</v>
      </c>
      <c r="J75" s="10">
        <f>Data!I75</f>
        <v>0.86717880066005637</v>
      </c>
      <c r="K75" s="10">
        <f t="shared" si="4"/>
        <v>0.8671822200132856</v>
      </c>
      <c r="L75" s="17">
        <f>Data!N75</f>
        <v>0.21718769742065655</v>
      </c>
      <c r="M75" s="15">
        <f>Data!L75</f>
        <v>748.3</v>
      </c>
      <c r="N75" s="15">
        <f>Data!M75</f>
        <v>0.22246940433979034</v>
      </c>
      <c r="O75" s="15">
        <f>Data!O75</f>
        <v>118.21114349365234</v>
      </c>
      <c r="P75" s="17">
        <f>Data!P75</f>
        <v>0.22700000000000001</v>
      </c>
      <c r="Q75" s="17">
        <f>Data!R75</f>
        <v>-0.96</v>
      </c>
      <c r="R75" s="15">
        <f>Data!Q75</f>
        <v>1</v>
      </c>
      <c r="S75" s="15">
        <f t="shared" si="7"/>
        <v>0.22700000000000001</v>
      </c>
    </row>
    <row r="76" spans="1:19" x14ac:dyDescent="0.25">
      <c r="A76" s="15">
        <f>Data!A76</f>
        <v>201509</v>
      </c>
      <c r="B76" s="15">
        <v>80450</v>
      </c>
      <c r="C76" s="15">
        <f>Data!F76</f>
        <v>371</v>
      </c>
      <c r="D76" s="15">
        <f>IF(Data!D76="Mauritius", 1, 0)</f>
        <v>1</v>
      </c>
      <c r="E76" s="15">
        <f>IF(Regression!A76&gt;201500, 1, 0)</f>
        <v>1</v>
      </c>
      <c r="F76" s="15">
        <f t="shared" si="5"/>
        <v>1</v>
      </c>
      <c r="G76" s="11">
        <f>Data!J76</f>
        <v>2.2588855791039811E-5</v>
      </c>
      <c r="H76" s="11">
        <f t="shared" si="6"/>
        <v>2.2588855791039811E-5</v>
      </c>
      <c r="I76" s="10">
        <f>Data!H76</f>
        <v>0.92749999999999999</v>
      </c>
      <c r="J76" s="10">
        <f>Data!I76</f>
        <v>0.97348854514032723</v>
      </c>
      <c r="K76" s="10">
        <f t="shared" si="4"/>
        <v>0.97348750631171299</v>
      </c>
      <c r="L76" s="17">
        <f>Data!N76</f>
        <v>-0.30913196049062641</v>
      </c>
      <c r="M76" s="15">
        <f>Data!L76</f>
        <v>749.3</v>
      </c>
      <c r="N76" s="15">
        <f>Data!M76</f>
        <v>6.5251432359218597E-2</v>
      </c>
      <c r="O76" s="15">
        <f>Data!O76</f>
        <v>98.7674560546875</v>
      </c>
      <c r="P76" s="17">
        <f>Data!P76</f>
        <v>0.10249999999999999</v>
      </c>
      <c r="Q76" s="17">
        <f>Data!R76</f>
        <v>-0.95</v>
      </c>
      <c r="R76" s="15">
        <f>Data!Q76</f>
        <v>0.99</v>
      </c>
      <c r="S76" s="15">
        <f t="shared" si="7"/>
        <v>0.10249999999999999</v>
      </c>
    </row>
    <row r="77" spans="1:19" x14ac:dyDescent="0.25">
      <c r="A77" s="15">
        <f>Data!A77</f>
        <v>201506</v>
      </c>
      <c r="B77" s="15">
        <v>80450</v>
      </c>
      <c r="C77" s="15">
        <f>Data!F77</f>
        <v>10091</v>
      </c>
      <c r="D77" s="15">
        <f>IF(Data!D77="Mauritius", 1, 0)</f>
        <v>1</v>
      </c>
      <c r="E77" s="15">
        <f>IF(Regression!A77&gt;201500, 1, 0)</f>
        <v>1</v>
      </c>
      <c r="F77" s="15">
        <f t="shared" si="5"/>
        <v>1</v>
      </c>
      <c r="G77" s="11">
        <f>Data!J77</f>
        <v>6.2294487916283027E-4</v>
      </c>
      <c r="H77" s="11">
        <f t="shared" si="6"/>
        <v>6.2294487916283027E-4</v>
      </c>
      <c r="I77" s="10">
        <f>Data!H77</f>
        <v>4.5660633484162894</v>
      </c>
      <c r="J77" s="10">
        <f>Data!I77</f>
        <v>1.4585258474741469</v>
      </c>
      <c r="K77" s="10">
        <f t="shared" si="4"/>
        <v>1.4604616720471653</v>
      </c>
      <c r="L77" s="17">
        <f>Data!N77</f>
        <v>-0.65727858472487521</v>
      </c>
      <c r="M77" s="15">
        <f>Data!L77</f>
        <v>749.3</v>
      </c>
      <c r="N77" s="15">
        <f>Data!M77</f>
        <v>0.10393209755420685</v>
      </c>
      <c r="O77" s="15">
        <f>Data!O77</f>
        <v>85.905967712402344</v>
      </c>
      <c r="P77" s="17">
        <f>Data!P77</f>
        <v>0.32469999999999999</v>
      </c>
      <c r="Q77" s="17">
        <f>Data!R77</f>
        <v>-0.95</v>
      </c>
      <c r="R77" s="15">
        <f>Data!Q77</f>
        <v>0.99</v>
      </c>
      <c r="S77" s="15">
        <f t="shared" si="7"/>
        <v>0.32469999999999999</v>
      </c>
    </row>
    <row r="78" spans="1:19" x14ac:dyDescent="0.25">
      <c r="A78" s="15">
        <f>Data!A78</f>
        <v>201504</v>
      </c>
      <c r="B78" s="15">
        <v>80450</v>
      </c>
      <c r="C78" s="15">
        <f>Data!F78</f>
        <v>3937</v>
      </c>
      <c r="D78" s="15">
        <f>IF(Data!D78="Mauritius", 1, 0)</f>
        <v>1</v>
      </c>
      <c r="E78" s="15">
        <f>IF(Regression!A78&gt;201500, 1, 0)</f>
        <v>1</v>
      </c>
      <c r="F78" s="15">
        <f t="shared" si="5"/>
        <v>1</v>
      </c>
      <c r="G78" s="11">
        <f>Data!J78</f>
        <v>2.0824995665206006E-4</v>
      </c>
      <c r="H78" s="11">
        <f t="shared" si="6"/>
        <v>2.0824995665206006E-4</v>
      </c>
      <c r="I78" s="10">
        <f>Data!H78</f>
        <v>2.3774154589371981</v>
      </c>
      <c r="J78" s="10">
        <f>Data!I78</f>
        <v>0.97</v>
      </c>
      <c r="K78" s="10">
        <f t="shared" si="4"/>
        <v>0.97029309420831511</v>
      </c>
      <c r="L78" s="17">
        <f>Data!N78</f>
        <v>-0.21647410219501448</v>
      </c>
      <c r="M78" s="15">
        <f>Data!L78</f>
        <v>749.3</v>
      </c>
      <c r="N78" s="15">
        <f>Data!M78</f>
        <v>0.18705096840858459</v>
      </c>
      <c r="O78" s="15">
        <f>Data!O78</f>
        <v>102.19049072265625</v>
      </c>
      <c r="P78" s="17">
        <f>Data!P78</f>
        <v>0.6028</v>
      </c>
      <c r="Q78" s="17">
        <f>Data!R78</f>
        <v>-0.95</v>
      </c>
      <c r="R78" s="15">
        <f>Data!Q78</f>
        <v>0.99</v>
      </c>
      <c r="S78" s="15">
        <f t="shared" si="7"/>
        <v>0.6028</v>
      </c>
    </row>
    <row r="79" spans="1:19" x14ac:dyDescent="0.25">
      <c r="A79" s="15">
        <f>Data!A79</f>
        <v>201502</v>
      </c>
      <c r="B79" s="15">
        <v>80450</v>
      </c>
      <c r="C79" s="15">
        <f>Data!F79</f>
        <v>206</v>
      </c>
      <c r="D79" s="15">
        <f>IF(Data!D79="Mauritius", 1, 0)</f>
        <v>1</v>
      </c>
      <c r="E79" s="15">
        <f>IF(Regression!A79&gt;201500, 1, 0)</f>
        <v>1</v>
      </c>
      <c r="F79" s="15">
        <f t="shared" si="5"/>
        <v>1</v>
      </c>
      <c r="G79" s="11">
        <f>Data!J79</f>
        <v>2.0213170450503488E-5</v>
      </c>
      <c r="H79" s="11">
        <f t="shared" si="6"/>
        <v>2.0213170450503488E-5</v>
      </c>
      <c r="I79" s="10">
        <f>Data!H79</f>
        <v>2.06</v>
      </c>
      <c r="J79" s="10">
        <f>Data!I79</f>
        <v>0.84838634380500966</v>
      </c>
      <c r="K79" s="10">
        <f t="shared" si="4"/>
        <v>0.84841083435836251</v>
      </c>
      <c r="L79" s="17">
        <f>Data!N79</f>
        <v>4.70203915863497E-2</v>
      </c>
      <c r="M79" s="15">
        <f>Data!L79</f>
        <v>749.3</v>
      </c>
      <c r="N79" s="15">
        <f>Data!M79</f>
        <v>0.1231527104973793</v>
      </c>
      <c r="O79" s="15">
        <f>Data!O79</f>
        <v>111.92469787597656</v>
      </c>
      <c r="P79" s="17">
        <f>Data!P79</f>
        <v>0.27110000000000001</v>
      </c>
      <c r="Q79" s="17">
        <f>Data!R79</f>
        <v>-0.95</v>
      </c>
      <c r="R79" s="15">
        <f>Data!Q79</f>
        <v>0.99</v>
      </c>
      <c r="S79" s="15">
        <f t="shared" si="7"/>
        <v>0.27110000000000001</v>
      </c>
    </row>
    <row r="80" spans="1:19" x14ac:dyDescent="0.25">
      <c r="A80" s="15">
        <f>Data!A80</f>
        <v>201501</v>
      </c>
      <c r="B80" s="15">
        <v>80450</v>
      </c>
      <c r="C80" s="15">
        <f>Data!F80</f>
        <v>582</v>
      </c>
      <c r="D80" s="15">
        <f>IF(Data!D80="Mauritius", 1, 0)</f>
        <v>1</v>
      </c>
      <c r="E80" s="15">
        <f>IF(Regression!A80&gt;201500, 1, 0)</f>
        <v>1</v>
      </c>
      <c r="F80" s="15">
        <f t="shared" si="5"/>
        <v>1</v>
      </c>
      <c r="G80" s="11">
        <f>Data!J80</f>
        <v>5.2679237030860619E-5</v>
      </c>
      <c r="H80" s="11">
        <f t="shared" si="6"/>
        <v>5.2679237030860619E-5</v>
      </c>
      <c r="I80" s="10">
        <f>Data!H80</f>
        <v>1.8957654723127035</v>
      </c>
      <c r="J80" s="10">
        <f>Data!I80</f>
        <v>0.90526936116048884</v>
      </c>
      <c r="K80" s="10">
        <f t="shared" si="4"/>
        <v>0.90532153973990637</v>
      </c>
      <c r="L80" s="17">
        <f>Data!N80</f>
        <v>4.8671514870306999E-2</v>
      </c>
      <c r="M80" s="15">
        <f>Data!L80</f>
        <v>749.3</v>
      </c>
      <c r="N80" s="15">
        <f>Data!M80</f>
        <v>0.21778281033039093</v>
      </c>
      <c r="O80" s="15">
        <f>Data!O80</f>
        <v>111.98569488525391</v>
      </c>
      <c r="P80" s="17">
        <f>Data!P80</f>
        <v>2.6800000000000001E-2</v>
      </c>
      <c r="Q80" s="17">
        <f>Data!R80</f>
        <v>-0.95</v>
      </c>
      <c r="R80" s="15">
        <f>Data!Q80</f>
        <v>0.99</v>
      </c>
      <c r="S80" s="15">
        <f t="shared" si="7"/>
        <v>2.6800000000000001E-2</v>
      </c>
    </row>
    <row r="81" spans="1:19" x14ac:dyDescent="0.25">
      <c r="A81" s="15">
        <f>Data!A81</f>
        <v>201410</v>
      </c>
      <c r="B81" s="15">
        <v>80450</v>
      </c>
      <c r="C81" s="15">
        <f>Data!F81</f>
        <v>14272</v>
      </c>
      <c r="D81" s="15">
        <f>IF(Data!D81="Mauritius", 1, 0)</f>
        <v>1</v>
      </c>
      <c r="E81" s="15">
        <f>IF(Regression!A81&gt;201500, 1, 0)</f>
        <v>0</v>
      </c>
      <c r="F81" s="15">
        <f t="shared" si="5"/>
        <v>0</v>
      </c>
      <c r="G81" s="11">
        <f>Data!J81</f>
        <v>9.8016801173069911E-4</v>
      </c>
      <c r="H81" s="11">
        <f t="shared" si="6"/>
        <v>0</v>
      </c>
      <c r="I81" s="10">
        <f>Data!H81</f>
        <v>2.0101408450704223</v>
      </c>
      <c r="J81" s="10">
        <f>Data!I81</f>
        <v>0.93532108114580292</v>
      </c>
      <c r="K81" s="10">
        <f t="shared" si="4"/>
        <v>0.93637458509677773</v>
      </c>
      <c r="L81" s="17">
        <f>Data!N81</f>
        <v>-0.71804735627597005</v>
      </c>
      <c r="M81" s="15">
        <f>Data!L81</f>
        <v>742.8</v>
      </c>
      <c r="N81" s="15">
        <f>Data!M81</f>
        <v>0.1330697238445282</v>
      </c>
      <c r="O81" s="15">
        <f>Data!O81</f>
        <v>83.661003112792969</v>
      </c>
      <c r="P81" s="17">
        <f>Data!P81</f>
        <v>0.78769999999999996</v>
      </c>
      <c r="Q81" s="17">
        <f>Data!R81</f>
        <v>-1</v>
      </c>
      <c r="R81" s="15">
        <f>Data!Q81</f>
        <v>0.67</v>
      </c>
      <c r="S81" s="15">
        <f t="shared" si="7"/>
        <v>0</v>
      </c>
    </row>
    <row r="82" spans="1:19" x14ac:dyDescent="0.25">
      <c r="A82" s="15">
        <f>Data!A82</f>
        <v>201408</v>
      </c>
      <c r="B82" s="15">
        <v>80450</v>
      </c>
      <c r="C82" s="15">
        <f>Data!F82</f>
        <v>666</v>
      </c>
      <c r="D82" s="15">
        <f>IF(Data!D82="Mauritius", 1, 0)</f>
        <v>1</v>
      </c>
      <c r="E82" s="15">
        <f>IF(Regression!A82&gt;201500, 1, 0)</f>
        <v>0</v>
      </c>
      <c r="F82" s="15">
        <f t="shared" si="5"/>
        <v>0</v>
      </c>
      <c r="G82" s="11">
        <f>Data!J82</f>
        <v>3.5660445096969909E-5</v>
      </c>
      <c r="H82" s="11">
        <f t="shared" si="6"/>
        <v>0</v>
      </c>
      <c r="I82" s="10">
        <f>Data!H82</f>
        <v>2.0429447852760738</v>
      </c>
      <c r="J82" s="10">
        <f>Data!I82</f>
        <v>0.80471056835680765</v>
      </c>
      <c r="K82" s="10">
        <f t="shared" si="4"/>
        <v>0.8047547243401173</v>
      </c>
      <c r="L82" s="17">
        <f>Data!N82</f>
        <v>0.71077442997100593</v>
      </c>
      <c r="M82" s="15">
        <f>Data!L82</f>
        <v>742.8</v>
      </c>
      <c r="N82" s="15">
        <f>Data!M82</f>
        <v>0.16138376295566559</v>
      </c>
      <c r="O82" s="15">
        <f>Data!O82</f>
        <v>136.44558715820313</v>
      </c>
      <c r="P82" s="17">
        <f>Data!P82</f>
        <v>0.31509999999999999</v>
      </c>
      <c r="Q82" s="17">
        <f>Data!R82</f>
        <v>-1</v>
      </c>
      <c r="R82" s="15">
        <f>Data!Q82</f>
        <v>0.67</v>
      </c>
      <c r="S82" s="15">
        <f t="shared" si="7"/>
        <v>0</v>
      </c>
    </row>
    <row r="83" spans="1:19" x14ac:dyDescent="0.25">
      <c r="A83" s="15">
        <f>Data!A83</f>
        <v>201406</v>
      </c>
      <c r="B83" s="15">
        <v>80450</v>
      </c>
      <c r="C83" s="15">
        <f>Data!F83</f>
        <v>12062</v>
      </c>
      <c r="D83" s="15">
        <f>IF(Data!D83="Mauritius", 1, 0)</f>
        <v>1</v>
      </c>
      <c r="E83" s="15">
        <f>IF(Regression!A83&gt;201500, 1, 0)</f>
        <v>0</v>
      </c>
      <c r="F83" s="15">
        <f t="shared" si="5"/>
        <v>0</v>
      </c>
      <c r="G83" s="11">
        <f>Data!J83</f>
        <v>7.251318171453457E-4</v>
      </c>
      <c r="H83" s="11">
        <f t="shared" si="6"/>
        <v>0</v>
      </c>
      <c r="I83" s="10">
        <f>Data!H83</f>
        <v>2.566382978723404</v>
      </c>
      <c r="J83" s="10">
        <f>Data!I83</f>
        <v>0.95678741046628024</v>
      </c>
      <c r="K83" s="10">
        <f t="shared" si="4"/>
        <v>0.9579545794255595</v>
      </c>
      <c r="L83" s="17">
        <f>Data!N83</f>
        <v>-0.3091414603869444</v>
      </c>
      <c r="M83" s="15">
        <f>Data!L83</f>
        <v>742.8</v>
      </c>
      <c r="N83" s="15">
        <f>Data!M83</f>
        <v>0.11897207796573639</v>
      </c>
      <c r="O83" s="15">
        <f>Data!O83</f>
        <v>98.767105102539063</v>
      </c>
      <c r="P83" s="17">
        <f>Data!P83</f>
        <v>0.90329999999999999</v>
      </c>
      <c r="Q83" s="17">
        <f>Data!R83</f>
        <v>-1</v>
      </c>
      <c r="R83" s="15">
        <f>Data!Q83</f>
        <v>0.67</v>
      </c>
      <c r="S83" s="15">
        <f t="shared" si="7"/>
        <v>0</v>
      </c>
    </row>
    <row r="84" spans="1:19" x14ac:dyDescent="0.25">
      <c r="A84" s="15">
        <f>Data!A84</f>
        <v>201405</v>
      </c>
      <c r="B84" s="15">
        <v>80450</v>
      </c>
      <c r="C84" s="15">
        <f>Data!F84</f>
        <v>420</v>
      </c>
      <c r="D84" s="15">
        <f>IF(Data!D84="Mauritius", 1, 0)</f>
        <v>1</v>
      </c>
      <c r="E84" s="15">
        <f>IF(Regression!A84&gt;201500, 1, 0)</f>
        <v>0</v>
      </c>
      <c r="F84" s="15">
        <f t="shared" si="5"/>
        <v>0</v>
      </c>
      <c r="G84" s="11">
        <f>Data!J84</f>
        <v>1.7834940933860438E-5</v>
      </c>
      <c r="H84" s="11">
        <f t="shared" si="6"/>
        <v>0</v>
      </c>
      <c r="I84" s="10">
        <f>Data!H84</f>
        <v>0.84</v>
      </c>
      <c r="J84" s="10">
        <f>Data!I84</f>
        <v>1.0883669651332932</v>
      </c>
      <c r="K84" s="10">
        <f t="shared" si="4"/>
        <v>1.0883625355231401</v>
      </c>
      <c r="L84" s="17">
        <f>Data!N84</f>
        <v>-0.72433133117081094</v>
      </c>
      <c r="M84" s="15">
        <f>Data!L84</f>
        <v>742.8</v>
      </c>
      <c r="N84" s="15">
        <f>Data!M84</f>
        <v>0.10159924626350403</v>
      </c>
      <c r="O84" s="15">
        <f>Data!O84</f>
        <v>83.428855895996094</v>
      </c>
      <c r="P84" s="17">
        <f>Data!P84</f>
        <v>1</v>
      </c>
      <c r="Q84" s="17">
        <f>Data!R84</f>
        <v>-1</v>
      </c>
      <c r="R84" s="15">
        <f>Data!Q84</f>
        <v>0.67</v>
      </c>
      <c r="S84" s="15">
        <f t="shared" si="7"/>
        <v>0</v>
      </c>
    </row>
    <row r="85" spans="1:19" x14ac:dyDescent="0.25">
      <c r="A85" s="15">
        <f>Data!A85</f>
        <v>201402</v>
      </c>
      <c r="B85" s="15">
        <v>80450</v>
      </c>
      <c r="C85" s="15">
        <f>Data!F85</f>
        <v>4465</v>
      </c>
      <c r="D85" s="15">
        <f>IF(Data!D85="Mauritius", 1, 0)</f>
        <v>1</v>
      </c>
      <c r="E85" s="15">
        <f>IF(Regression!A85&gt;201500, 1, 0)</f>
        <v>0</v>
      </c>
      <c r="F85" s="15">
        <f t="shared" si="5"/>
        <v>0</v>
      </c>
      <c r="G85" s="11">
        <f>Data!J85</f>
        <v>4.3692449386969979E-4</v>
      </c>
      <c r="H85" s="11">
        <f t="shared" si="6"/>
        <v>0</v>
      </c>
      <c r="I85" s="10">
        <f>Data!H85</f>
        <v>2.8750804893754025</v>
      </c>
      <c r="J85" s="10">
        <f>Data!I85</f>
        <v>0.6005521892344432</v>
      </c>
      <c r="K85" s="10">
        <f t="shared" si="4"/>
        <v>0.60154598636077461</v>
      </c>
      <c r="L85" s="17">
        <f>Data!N85</f>
        <v>-1.1148094933978592</v>
      </c>
      <c r="M85" s="15">
        <f>Data!L85</f>
        <v>742.8</v>
      </c>
      <c r="N85" s="15">
        <f>Data!M85</f>
        <v>0.10369141399860382</v>
      </c>
      <c r="O85" s="15">
        <f>Data!O85</f>
        <v>69.003524780273438</v>
      </c>
      <c r="P85" s="17">
        <f>Data!P85</f>
        <v>0.98350000000000004</v>
      </c>
      <c r="Q85" s="17">
        <f>Data!R85</f>
        <v>-1</v>
      </c>
      <c r="R85" s="15">
        <f>Data!Q85</f>
        <v>0.67</v>
      </c>
      <c r="S85" s="15">
        <f t="shared" si="7"/>
        <v>0</v>
      </c>
    </row>
    <row r="86" spans="1:19" x14ac:dyDescent="0.25">
      <c r="A86" s="15">
        <f>Data!A86</f>
        <v>201309</v>
      </c>
      <c r="B86" s="15">
        <v>80450</v>
      </c>
      <c r="C86" s="15">
        <f>Data!F86</f>
        <v>10864</v>
      </c>
      <c r="D86" s="15">
        <f>IF(Data!D86="Mauritius", 1, 0)</f>
        <v>1</v>
      </c>
      <c r="E86" s="15">
        <f>IF(Regression!A86&gt;201500, 1, 0)</f>
        <v>0</v>
      </c>
      <c r="F86" s="15">
        <f t="shared" si="5"/>
        <v>0</v>
      </c>
      <c r="G86" s="11">
        <f>Data!J86</f>
        <v>7.6634747043612182E-4</v>
      </c>
      <c r="H86" s="11">
        <f t="shared" si="6"/>
        <v>0</v>
      </c>
      <c r="I86" s="10">
        <f>Data!H86</f>
        <v>1.4882191780821918</v>
      </c>
      <c r="J86" s="10">
        <f>Data!I86</f>
        <v>0.86075426657052223</v>
      </c>
      <c r="K86" s="10">
        <f t="shared" si="4"/>
        <v>0.86123512271824654</v>
      </c>
      <c r="L86" s="17">
        <f>Data!N86</f>
        <v>-0.26333481901714068</v>
      </c>
      <c r="M86" s="15">
        <f>Data!L86</f>
        <v>713.7</v>
      </c>
      <c r="N86" s="15">
        <f>Data!M86</f>
        <v>0.12699145078659058</v>
      </c>
      <c r="O86" s="15">
        <f>Data!O86</f>
        <v>100.45932769775391</v>
      </c>
      <c r="P86" s="17">
        <f>Data!P86</f>
        <v>0.8528</v>
      </c>
      <c r="Q86" s="17">
        <f>Data!R86</f>
        <v>-1.23</v>
      </c>
      <c r="R86" s="15">
        <f>Data!Q86</f>
        <v>0.94</v>
      </c>
      <c r="S86" s="15">
        <f t="shared" si="7"/>
        <v>0</v>
      </c>
    </row>
    <row r="87" spans="1:19" x14ac:dyDescent="0.25">
      <c r="A87" s="15">
        <f>Data!A87</f>
        <v>201307</v>
      </c>
      <c r="B87" s="15">
        <v>80450</v>
      </c>
      <c r="C87" s="15">
        <f>Data!F87</f>
        <v>12730</v>
      </c>
      <c r="D87" s="15">
        <f>IF(Data!D87="Mauritius", 1, 0)</f>
        <v>1</v>
      </c>
      <c r="E87" s="15">
        <f>IF(Regression!A87&gt;201500, 1, 0)</f>
        <v>0</v>
      </c>
      <c r="F87" s="15">
        <f t="shared" si="5"/>
        <v>0</v>
      </c>
      <c r="G87" s="11">
        <f>Data!J87</f>
        <v>6.2106973969176696E-4</v>
      </c>
      <c r="H87" s="11">
        <f t="shared" si="6"/>
        <v>0</v>
      </c>
      <c r="I87" s="10">
        <f>Data!H87</f>
        <v>0.67</v>
      </c>
      <c r="J87" s="10">
        <f>Data!I87</f>
        <v>0.58904519089667107</v>
      </c>
      <c r="K87" s="10">
        <f t="shared" si="4"/>
        <v>0.58909546947888769</v>
      </c>
      <c r="L87" s="17">
        <f>Data!N87</f>
        <v>-0.98021496236509842</v>
      </c>
      <c r="M87" s="15">
        <f>Data!L87</f>
        <v>713.7</v>
      </c>
      <c r="N87" s="15">
        <f>Data!M87</f>
        <v>7.8542254865169525E-2</v>
      </c>
      <c r="O87" s="15">
        <f>Data!O87</f>
        <v>73.975814819335938</v>
      </c>
      <c r="P87" s="17">
        <f>Data!P87</f>
        <v>1</v>
      </c>
      <c r="Q87" s="17">
        <f>Data!R87</f>
        <v>-1.23</v>
      </c>
      <c r="R87" s="15">
        <f>Data!Q87</f>
        <v>0.94</v>
      </c>
      <c r="S87" s="15">
        <f t="shared" si="7"/>
        <v>0</v>
      </c>
    </row>
    <row r="88" spans="1:19" x14ac:dyDescent="0.25">
      <c r="A88" s="15">
        <f>Data!A88</f>
        <v>201303</v>
      </c>
      <c r="B88" s="15">
        <v>80450</v>
      </c>
      <c r="C88" s="15">
        <f>Data!F88</f>
        <v>13189</v>
      </c>
      <c r="D88" s="15">
        <f>IF(Data!D88="Mauritius", 1, 0)</f>
        <v>1</v>
      </c>
      <c r="E88" s="15">
        <f>IF(Regression!A88&gt;201500, 1, 0)</f>
        <v>0</v>
      </c>
      <c r="F88" s="15">
        <f t="shared" si="5"/>
        <v>0</v>
      </c>
      <c r="G88" s="11">
        <f>Data!J88</f>
        <v>7.9754427235438467E-4</v>
      </c>
      <c r="H88" s="11">
        <f t="shared" si="6"/>
        <v>0</v>
      </c>
      <c r="I88" s="10">
        <f>Data!H88</f>
        <v>0.94207142857142856</v>
      </c>
      <c r="J88" s="10">
        <f>Data!I88</f>
        <v>0.83122150359342051</v>
      </c>
      <c r="K88" s="10">
        <f t="shared" si="4"/>
        <v>0.83130991131617771</v>
      </c>
      <c r="L88" s="17">
        <f>Data!N88</f>
        <v>-0.92821810594672227</v>
      </c>
      <c r="M88" s="15">
        <f>Data!L88</f>
        <v>713.7</v>
      </c>
      <c r="N88" s="15">
        <f>Data!M88</f>
        <v>9.2192046344280243E-2</v>
      </c>
      <c r="O88" s="15">
        <f>Data!O88</f>
        <v>75.896720886230469</v>
      </c>
      <c r="P88" s="17">
        <f>Data!P88</f>
        <v>0.87190000000000001</v>
      </c>
      <c r="Q88" s="17">
        <f>Data!R88</f>
        <v>-1.23</v>
      </c>
      <c r="R88" s="15">
        <f>Data!Q88</f>
        <v>0.94</v>
      </c>
      <c r="S88" s="15">
        <f t="shared" si="7"/>
        <v>0</v>
      </c>
    </row>
    <row r="89" spans="1:19" x14ac:dyDescent="0.25">
      <c r="A89" s="15">
        <f>Data!A89</f>
        <v>201302</v>
      </c>
      <c r="B89" s="15">
        <v>80450</v>
      </c>
      <c r="C89" s="15">
        <f>Data!F89</f>
        <v>860</v>
      </c>
      <c r="D89" s="15">
        <f>IF(Data!D89="Mauritius", 1, 0)</f>
        <v>1</v>
      </c>
      <c r="E89" s="15">
        <f>IF(Regression!A89&gt;201500, 1, 0)</f>
        <v>0</v>
      </c>
      <c r="F89" s="15">
        <f t="shared" si="5"/>
        <v>0</v>
      </c>
      <c r="G89" s="11">
        <f>Data!J89</f>
        <v>8.5896177290508967E-5</v>
      </c>
      <c r="H89" s="11">
        <f t="shared" si="6"/>
        <v>0</v>
      </c>
      <c r="I89" s="10">
        <f>Data!H89</f>
        <v>0.86</v>
      </c>
      <c r="J89" s="10">
        <f>Data!I89</f>
        <v>0.86039048257586914</v>
      </c>
      <c r="K89" s="10">
        <f t="shared" si="4"/>
        <v>0.86039044903490869</v>
      </c>
      <c r="L89" s="17">
        <f>Data!N89</f>
        <v>-0.77409819018829007</v>
      </c>
      <c r="M89" s="15">
        <f>Data!L89</f>
        <v>713.7</v>
      </c>
      <c r="N89" s="15">
        <f>Data!M89</f>
        <v>0.11446615308523178</v>
      </c>
      <c r="O89" s="15">
        <f>Data!O89</f>
        <v>81.59033203125</v>
      </c>
      <c r="P89" s="17">
        <f>Data!P89</f>
        <v>0.35489999999999999</v>
      </c>
      <c r="Q89" s="17">
        <f>Data!R89</f>
        <v>-1.23</v>
      </c>
      <c r="R89" s="15">
        <f>Data!Q89</f>
        <v>0.94</v>
      </c>
      <c r="S89" s="15">
        <f t="shared" si="7"/>
        <v>0</v>
      </c>
    </row>
    <row r="90" spans="1:19" x14ac:dyDescent="0.25">
      <c r="A90" s="15">
        <f>Data!A90</f>
        <v>202506</v>
      </c>
      <c r="B90" s="15">
        <v>80450</v>
      </c>
      <c r="C90" s="15">
        <f>Data!F90</f>
        <v>12656</v>
      </c>
      <c r="D90" s="15">
        <f>IF(Data!D90="Mauritius", 1, 0)</f>
        <v>0</v>
      </c>
      <c r="E90" s="15">
        <f>IF(Regression!A90&gt;201500, 1, 0)</f>
        <v>1</v>
      </c>
      <c r="F90" s="15">
        <f t="shared" si="5"/>
        <v>0</v>
      </c>
      <c r="G90" s="11">
        <f>Data!J90</f>
        <v>8.9693649695271214E-4</v>
      </c>
      <c r="H90" s="11">
        <f t="shared" si="6"/>
        <v>0</v>
      </c>
      <c r="I90" s="10">
        <f>Data!H90</f>
        <v>2.4574757281553397</v>
      </c>
      <c r="J90" s="10">
        <f>Data!I90</f>
        <v>1.4290056637643145</v>
      </c>
      <c r="K90" s="10">
        <f t="shared" si="4"/>
        <v>1.42992813610109</v>
      </c>
      <c r="L90" s="17">
        <f>Data!N90</f>
        <v>-0.19286517902240105</v>
      </c>
      <c r="M90" s="15"/>
      <c r="N90" s="15">
        <f>Data!M90</f>
        <v>0.46758103370666504</v>
      </c>
      <c r="O90" s="15">
        <f>Data!O90</f>
        <v>220.12001037597656</v>
      </c>
      <c r="P90" s="17">
        <f>Data!P90</f>
        <v>0.11600000000000001</v>
      </c>
      <c r="Q90" s="17">
        <f>Data!R90</f>
        <v>-1.23</v>
      </c>
      <c r="R90" s="15">
        <f>Data!Q90</f>
        <v>0.94</v>
      </c>
      <c r="S90" s="15">
        <f t="shared" si="7"/>
        <v>0</v>
      </c>
    </row>
    <row r="91" spans="1:19" x14ac:dyDescent="0.25">
      <c r="A91" s="15">
        <f>Data!A91</f>
        <v>202505</v>
      </c>
      <c r="B91" s="15">
        <v>80450</v>
      </c>
      <c r="C91" s="15">
        <f>Data!F91</f>
        <v>11332</v>
      </c>
      <c r="D91" s="15">
        <f>IF(Data!D91="Mauritius", 1, 0)</f>
        <v>0</v>
      </c>
      <c r="E91" s="15">
        <f>IF(Regression!A91&gt;201500, 1, 0)</f>
        <v>1</v>
      </c>
      <c r="F91" s="15">
        <f t="shared" si="5"/>
        <v>0</v>
      </c>
      <c r="G91" s="11">
        <f>Data!J91</f>
        <v>3.9873750950001263E-4</v>
      </c>
      <c r="H91" s="11">
        <f t="shared" si="6"/>
        <v>0</v>
      </c>
      <c r="I91" s="10">
        <f>Data!H91</f>
        <v>2.2081060015588463</v>
      </c>
      <c r="J91" s="10">
        <f>Data!I91</f>
        <v>1.5528385692468156</v>
      </c>
      <c r="K91" s="10">
        <f t="shared" si="4"/>
        <v>1.5530998489508323</v>
      </c>
      <c r="L91" s="17">
        <f>Data!N91</f>
        <v>0.8343197855562775</v>
      </c>
      <c r="M91" s="15"/>
      <c r="N91" s="15">
        <f>Data!M91</f>
        <v>0.76241862773895264</v>
      </c>
      <c r="O91" s="15">
        <f>Data!O91</f>
        <v>165.22462463378906</v>
      </c>
      <c r="P91" s="17">
        <f>Data!P91</f>
        <v>0.2263</v>
      </c>
      <c r="Q91" s="17"/>
      <c r="R91" s="15"/>
      <c r="S91" s="15">
        <f t="shared" si="7"/>
        <v>0</v>
      </c>
    </row>
    <row r="92" spans="1:19" x14ac:dyDescent="0.25">
      <c r="A92" s="15">
        <f>Data!A92</f>
        <v>202504</v>
      </c>
      <c r="B92" s="15">
        <v>80450</v>
      </c>
      <c r="C92" s="15">
        <f>Data!F92</f>
        <v>2139</v>
      </c>
      <c r="D92" s="15">
        <f>IF(Data!D92="Mauritius", 1, 0)</f>
        <v>0</v>
      </c>
      <c r="E92" s="15">
        <f>IF(Regression!A92&gt;201500, 1, 0)</f>
        <v>1</v>
      </c>
      <c r="F92" s="15">
        <f t="shared" si="5"/>
        <v>0</v>
      </c>
      <c r="G92" s="11">
        <f>Data!J92</f>
        <v>6.8728038716730881E-5</v>
      </c>
      <c r="H92" s="11">
        <f t="shared" si="6"/>
        <v>0</v>
      </c>
      <c r="I92" s="10">
        <f>Data!H92</f>
        <v>2.7387964148527528</v>
      </c>
      <c r="J92" s="10">
        <f>Data!I92</f>
        <v>1.67215069298846</v>
      </c>
      <c r="K92" s="10">
        <f t="shared" si="4"/>
        <v>1.6722240014569292</v>
      </c>
      <c r="L92" s="17">
        <f>Data!N92</f>
        <v>1.3380927413982364</v>
      </c>
      <c r="M92" s="15"/>
      <c r="N92" s="15">
        <f>Data!M92</f>
        <v>0.4251442551612854</v>
      </c>
      <c r="O92" s="15">
        <f>Data!O92</f>
        <v>140.52890014648438</v>
      </c>
      <c r="P92" s="17">
        <f>Data!P92</f>
        <v>0.99119999999999997</v>
      </c>
      <c r="Q92" s="17"/>
      <c r="R92" s="15"/>
      <c r="S92" s="15">
        <f t="shared" si="7"/>
        <v>0</v>
      </c>
    </row>
    <row r="93" spans="1:19" x14ac:dyDescent="0.25">
      <c r="A93" s="15">
        <f>Data!A93</f>
        <v>202503</v>
      </c>
      <c r="B93" s="15">
        <v>80450</v>
      </c>
      <c r="C93" s="15">
        <f>Data!F93</f>
        <v>16427</v>
      </c>
      <c r="D93" s="15">
        <f>IF(Data!D93="Mauritius", 1, 0)</f>
        <v>0</v>
      </c>
      <c r="E93" s="15">
        <f>IF(Regression!A93&gt;201500, 1, 0)</f>
        <v>1</v>
      </c>
      <c r="F93" s="15">
        <f t="shared" si="5"/>
        <v>0</v>
      </c>
      <c r="G93" s="11">
        <f>Data!J93</f>
        <v>1.0579222579449787E-3</v>
      </c>
      <c r="H93" s="11">
        <f t="shared" si="6"/>
        <v>0</v>
      </c>
      <c r="I93" s="10">
        <f>Data!H93</f>
        <v>1.8718094804010939</v>
      </c>
      <c r="J93" s="10">
        <f>Data!I93</f>
        <v>1.5056713313796344</v>
      </c>
      <c r="K93" s="10">
        <f t="shared" si="4"/>
        <v>1.5060586770769671</v>
      </c>
      <c r="L93" s="17">
        <f>Data!N93</f>
        <v>0.58232815748949152</v>
      </c>
      <c r="M93" s="15"/>
      <c r="N93" s="15">
        <f>Data!M93</f>
        <v>0.24915465712547302</v>
      </c>
      <c r="O93" s="15">
        <f>Data!O93</f>
        <v>171.87290954589844</v>
      </c>
      <c r="P93" s="17">
        <f>Data!P93</f>
        <v>1</v>
      </c>
      <c r="Q93" s="17"/>
      <c r="R93" s="15"/>
      <c r="S93" s="15">
        <f t="shared" si="7"/>
        <v>0</v>
      </c>
    </row>
    <row r="94" spans="1:19" x14ac:dyDescent="0.25">
      <c r="A94" s="15">
        <f>Data!A94</f>
        <v>202502</v>
      </c>
      <c r="B94" s="15">
        <v>80450</v>
      </c>
      <c r="C94" s="15">
        <f>Data!F94</f>
        <v>101958</v>
      </c>
      <c r="D94" s="15">
        <f>IF(Data!D94="Mauritius", 1, 0)</f>
        <v>0</v>
      </c>
      <c r="E94" s="15">
        <f>IF(Regression!A94&gt;201500, 1, 0)</f>
        <v>1</v>
      </c>
      <c r="F94" s="15">
        <f t="shared" si="5"/>
        <v>0</v>
      </c>
      <c r="G94" s="11">
        <f>Data!J94</f>
        <v>1.0646738343858802E-2</v>
      </c>
      <c r="H94" s="11">
        <f t="shared" si="6"/>
        <v>0</v>
      </c>
      <c r="I94" s="10">
        <f>Data!H94</f>
        <v>0.75777034559643253</v>
      </c>
      <c r="J94" s="10">
        <f>Data!I94</f>
        <v>1.3750398449736176</v>
      </c>
      <c r="K94" s="10">
        <f t="shared" si="4"/>
        <v>1.3684679381261042</v>
      </c>
      <c r="L94" s="17">
        <f>Data!N94</f>
        <v>0.37442786572755682</v>
      </c>
      <c r="M94" s="15"/>
      <c r="N94" s="15">
        <f>Data!M94</f>
        <v>0.20897936820983887</v>
      </c>
      <c r="O94" s="15">
        <f>Data!O94</f>
        <v>136.20162963867188</v>
      </c>
      <c r="P94" s="17">
        <f>Data!P94</f>
        <v>0.94010000000000005</v>
      </c>
      <c r="Q94" s="17"/>
      <c r="R94" s="15"/>
      <c r="S94" s="15">
        <f t="shared" si="7"/>
        <v>0</v>
      </c>
    </row>
    <row r="95" spans="1:19" x14ac:dyDescent="0.25">
      <c r="A95" s="15">
        <f>Data!A95</f>
        <v>202501</v>
      </c>
      <c r="B95" s="15">
        <v>80450</v>
      </c>
      <c r="C95" s="15">
        <f>Data!F95</f>
        <v>18862</v>
      </c>
      <c r="D95" s="15">
        <f>IF(Data!D95="Mauritius", 1, 0)</f>
        <v>0</v>
      </c>
      <c r="E95" s="15">
        <f>IF(Regression!A95&gt;201500, 1, 0)</f>
        <v>1</v>
      </c>
      <c r="F95" s="15">
        <f t="shared" si="5"/>
        <v>0</v>
      </c>
      <c r="G95" s="11">
        <f>Data!J95</f>
        <v>2.5808563183295119E-3</v>
      </c>
      <c r="H95" s="11">
        <f t="shared" si="6"/>
        <v>0</v>
      </c>
      <c r="I95" s="10">
        <f>Data!H95</f>
        <v>2.1453594176524113</v>
      </c>
      <c r="J95" s="10">
        <f>Data!I95</f>
        <v>1.2166638920981399</v>
      </c>
      <c r="K95" s="10">
        <f t="shared" si="4"/>
        <v>1.2190607218130709</v>
      </c>
      <c r="L95" s="17">
        <f>Data!N95</f>
        <v>0.5474989125875297</v>
      </c>
      <c r="M95" s="15"/>
      <c r="N95" s="15">
        <f>Data!M95</f>
        <v>0.23840893805027008</v>
      </c>
      <c r="O95" s="15">
        <f>Data!O95</f>
        <v>112.32621765136719</v>
      </c>
      <c r="P95" s="17">
        <f>Data!P95</f>
        <v>0.27229999999999999</v>
      </c>
      <c r="Q95" s="17"/>
      <c r="R95" s="15"/>
      <c r="S95" s="15">
        <f t="shared" si="7"/>
        <v>0</v>
      </c>
    </row>
    <row r="96" spans="1:19" x14ac:dyDescent="0.25">
      <c r="A96" s="15">
        <f>Data!A96</f>
        <v>202412</v>
      </c>
      <c r="B96" s="15">
        <v>80450</v>
      </c>
      <c r="C96" s="15">
        <f>Data!F96</f>
        <v>8426</v>
      </c>
      <c r="D96" s="15">
        <f>IF(Data!D96="Mauritius", 1, 0)</f>
        <v>0</v>
      </c>
      <c r="E96" s="15">
        <f>IF(Regression!A96&gt;201500, 1, 0)</f>
        <v>1</v>
      </c>
      <c r="F96" s="15">
        <f t="shared" si="5"/>
        <v>0</v>
      </c>
      <c r="G96" s="11">
        <f>Data!J96</f>
        <v>7.8498076349953108E-4</v>
      </c>
      <c r="H96" s="11">
        <f t="shared" si="6"/>
        <v>0</v>
      </c>
      <c r="I96" s="10">
        <f>Data!H96</f>
        <v>1.6645594626629792</v>
      </c>
      <c r="J96" s="10">
        <f>Data!I96</f>
        <v>1.2264705277446424</v>
      </c>
      <c r="K96" s="10">
        <f t="shared" si="4"/>
        <v>1.2268144191312553</v>
      </c>
      <c r="L96" s="17">
        <f>Data!N96</f>
        <v>1.0792567789235299</v>
      </c>
      <c r="M96" s="15">
        <f>Data!L96</f>
        <v>833.3</v>
      </c>
      <c r="N96" s="15">
        <f>Data!M96</f>
        <v>0.19472841918468475</v>
      </c>
      <c r="O96" s="15">
        <f>Data!O96</f>
        <v>141.9027099609375</v>
      </c>
      <c r="P96" s="17">
        <f>Data!P96</f>
        <v>0.63500000000000001</v>
      </c>
      <c r="Q96" s="17"/>
      <c r="R96" s="15"/>
      <c r="S96" s="15">
        <f t="shared" si="7"/>
        <v>0</v>
      </c>
    </row>
    <row r="97" spans="1:19" x14ac:dyDescent="0.25">
      <c r="A97" s="15">
        <f>Data!A97</f>
        <v>202411</v>
      </c>
      <c r="B97" s="15">
        <v>80450</v>
      </c>
      <c r="C97" s="15">
        <f>Data!F97</f>
        <v>11405</v>
      </c>
      <c r="D97" s="15">
        <f>IF(Data!D97="Mauritius", 1, 0)</f>
        <v>0</v>
      </c>
      <c r="E97" s="15">
        <f>IF(Regression!A97&gt;201500, 1, 0)</f>
        <v>1</v>
      </c>
      <c r="F97" s="15">
        <f t="shared" si="5"/>
        <v>0</v>
      </c>
      <c r="G97" s="11">
        <f>Data!J97</f>
        <v>1.1857758878373497E-3</v>
      </c>
      <c r="H97" s="11">
        <f t="shared" si="6"/>
        <v>0</v>
      </c>
      <c r="I97" s="10">
        <f>Data!H97</f>
        <v>2.4240170031880979</v>
      </c>
      <c r="J97" s="10">
        <f>Data!I97</f>
        <v>1.1506151515959919</v>
      </c>
      <c r="K97" s="10">
        <f t="shared" si="4"/>
        <v>1.1521251208071372</v>
      </c>
      <c r="L97" s="17">
        <f>Data!N97</f>
        <v>0.84872152555957492</v>
      </c>
      <c r="M97" s="15">
        <f>Data!L97</f>
        <v>833.3</v>
      </c>
      <c r="N97" s="15">
        <f>Data!M97</f>
        <v>0.18260814249515533</v>
      </c>
      <c r="O97" s="15">
        <f>Data!O97</f>
        <v>128.48176574707031</v>
      </c>
      <c r="P97" s="17">
        <f>Data!P97</f>
        <v>0.15720000000000001</v>
      </c>
      <c r="Q97" s="17"/>
      <c r="R97" s="15"/>
      <c r="S97" s="15">
        <f t="shared" si="7"/>
        <v>0</v>
      </c>
    </row>
    <row r="98" spans="1:19" x14ac:dyDescent="0.25">
      <c r="A98" s="15">
        <f>Data!A98</f>
        <v>202410</v>
      </c>
      <c r="B98" s="15">
        <v>80450</v>
      </c>
      <c r="C98" s="15">
        <f>Data!F98</f>
        <v>4962</v>
      </c>
      <c r="D98" s="15">
        <f>IF(Data!D98="Mauritius", 1, 0)</f>
        <v>0</v>
      </c>
      <c r="E98" s="15">
        <f>IF(Regression!A98&gt;201500, 1, 0)</f>
        <v>1</v>
      </c>
      <c r="F98" s="15">
        <f t="shared" si="5"/>
        <v>0</v>
      </c>
      <c r="G98" s="11">
        <f>Data!J98</f>
        <v>4.4280703608065266E-4</v>
      </c>
      <c r="H98" s="11">
        <f t="shared" si="6"/>
        <v>0</v>
      </c>
      <c r="I98" s="10">
        <f>Data!H98</f>
        <v>2.1564537157757497</v>
      </c>
      <c r="J98" s="10">
        <f>Data!I98</f>
        <v>1.324516762504697</v>
      </c>
      <c r="K98" s="10">
        <f t="shared" si="4"/>
        <v>1.3248851500411809</v>
      </c>
      <c r="L98" s="17">
        <f>Data!N98</f>
        <v>2.2534002140041487</v>
      </c>
      <c r="M98" s="15">
        <f>Data!L98</f>
        <v>833.3</v>
      </c>
      <c r="N98" s="15">
        <f>Data!M98</f>
        <v>0.26585879921913147</v>
      </c>
      <c r="O98" s="15">
        <f>Data!O98</f>
        <v>130.689208984375</v>
      </c>
      <c r="P98" s="17">
        <f>Data!P98</f>
        <v>3.6600000000000001E-2</v>
      </c>
      <c r="Q98" s="17"/>
      <c r="R98" s="15"/>
      <c r="S98" s="15">
        <f t="shared" si="7"/>
        <v>0</v>
      </c>
    </row>
    <row r="99" spans="1:19" x14ac:dyDescent="0.25">
      <c r="A99" s="15">
        <f>Data!A99</f>
        <v>202409</v>
      </c>
      <c r="B99" s="15">
        <v>80450</v>
      </c>
      <c r="C99" s="15">
        <f>Data!F99</f>
        <v>7498</v>
      </c>
      <c r="D99" s="15">
        <f>IF(Data!D99="Mauritius", 1, 0)</f>
        <v>0</v>
      </c>
      <c r="E99" s="15">
        <f>IF(Regression!A99&gt;201500, 1, 0)</f>
        <v>1</v>
      </c>
      <c r="F99" s="15">
        <f t="shared" si="5"/>
        <v>0</v>
      </c>
      <c r="G99" s="11">
        <f>Data!J99</f>
        <v>9.9654651046573203E-4</v>
      </c>
      <c r="H99" s="11">
        <f t="shared" si="6"/>
        <v>0</v>
      </c>
      <c r="I99" s="10">
        <f>Data!H99</f>
        <v>2.5730954015099519</v>
      </c>
      <c r="J99" s="10">
        <f>Data!I99</f>
        <v>1.4878749011739683</v>
      </c>
      <c r="K99" s="10">
        <f t="shared" si="4"/>
        <v>1.4889563738766638</v>
      </c>
      <c r="L99" s="17">
        <f>Data!N99</f>
        <v>0.31389532922383928</v>
      </c>
      <c r="M99" s="15">
        <f>Data!L99</f>
        <v>833.3</v>
      </c>
      <c r="N99" s="15">
        <f>Data!M99</f>
        <v>0.16914969682693481</v>
      </c>
      <c r="O99" s="15">
        <f>Data!O99</f>
        <v>130.14187622070313</v>
      </c>
      <c r="P99" s="17">
        <f>Data!P99</f>
        <v>0.16439999999999999</v>
      </c>
      <c r="Q99" s="17"/>
      <c r="R99" s="15"/>
      <c r="S99" s="15">
        <f t="shared" si="7"/>
        <v>0</v>
      </c>
    </row>
    <row r="100" spans="1:19" x14ac:dyDescent="0.25">
      <c r="A100" s="15">
        <f>Data!A100</f>
        <v>202408</v>
      </c>
      <c r="B100" s="15">
        <v>80450</v>
      </c>
      <c r="C100" s="15">
        <f>Data!F100</f>
        <v>3560</v>
      </c>
      <c r="D100" s="15">
        <f>IF(Data!D100="Mauritius", 1, 0)</f>
        <v>0</v>
      </c>
      <c r="E100" s="15">
        <f>IF(Regression!A100&gt;201500, 1, 0)</f>
        <v>1</v>
      </c>
      <c r="F100" s="15">
        <f t="shared" si="5"/>
        <v>0</v>
      </c>
      <c r="G100" s="11">
        <f>Data!J100</f>
        <v>3.6645578988824949E-4</v>
      </c>
      <c r="H100" s="11">
        <f t="shared" si="6"/>
        <v>0</v>
      </c>
      <c r="I100" s="10">
        <f>Data!H100</f>
        <v>2.0331239291833239</v>
      </c>
      <c r="J100" s="10">
        <f>Data!I100</f>
        <v>1.2541432962043835</v>
      </c>
      <c r="K100" s="10">
        <f t="shared" si="4"/>
        <v>1.2544287581675495</v>
      </c>
      <c r="L100" s="17">
        <f>Data!N100</f>
        <v>0.26869939411908322</v>
      </c>
      <c r="M100" s="15">
        <f>Data!L100</f>
        <v>833.3</v>
      </c>
      <c r="N100" s="15">
        <f>Data!M100</f>
        <v>0.2278769463300705</v>
      </c>
      <c r="O100" s="15">
        <f>Data!O100</f>
        <v>140.76402282714844</v>
      </c>
      <c r="P100" s="17">
        <f>Data!P100</f>
        <v>0.14460000000000001</v>
      </c>
      <c r="Q100" s="17"/>
      <c r="R100" s="15"/>
      <c r="S100" s="15">
        <f t="shared" si="7"/>
        <v>0</v>
      </c>
    </row>
    <row r="101" spans="1:19" x14ac:dyDescent="0.25">
      <c r="A101" s="15">
        <f>Data!A101</f>
        <v>202407</v>
      </c>
      <c r="B101" s="15">
        <v>80450</v>
      </c>
      <c r="C101" s="15">
        <f>Data!F101</f>
        <v>12171</v>
      </c>
      <c r="D101" s="15">
        <f>IF(Data!D101="Mauritius", 1, 0)</f>
        <v>0</v>
      </c>
      <c r="E101" s="15">
        <f>IF(Regression!A101&gt;201500, 1, 0)</f>
        <v>1</v>
      </c>
      <c r="F101" s="15">
        <f t="shared" si="5"/>
        <v>0</v>
      </c>
      <c r="G101" s="11">
        <f>Data!J101</f>
        <v>1.3407467489011903E-3</v>
      </c>
      <c r="H101" s="11">
        <f t="shared" si="6"/>
        <v>0</v>
      </c>
      <c r="I101" s="10">
        <f>Data!H101</f>
        <v>1.9754909917221231</v>
      </c>
      <c r="J101" s="10">
        <f>Data!I101</f>
        <v>0.97456241577176606</v>
      </c>
      <c r="K101" s="10">
        <f t="shared" si="4"/>
        <v>0.97590440750585383</v>
      </c>
      <c r="L101" s="17">
        <f>Data!N101</f>
        <v>-6.3178925641524802E-2</v>
      </c>
      <c r="M101" s="15">
        <f>Data!L101</f>
        <v>833.3</v>
      </c>
      <c r="N101" s="15">
        <f>Data!M101</f>
        <v>0.16011823713779449</v>
      </c>
      <c r="O101" s="15">
        <f>Data!O101</f>
        <v>92.394874572753906</v>
      </c>
      <c r="P101" s="17">
        <f>Data!P101</f>
        <v>0.92059999999999997</v>
      </c>
      <c r="Q101" s="17"/>
      <c r="R101" s="15"/>
      <c r="S101" s="15">
        <f t="shared" si="7"/>
        <v>0</v>
      </c>
    </row>
    <row r="102" spans="1:19" x14ac:dyDescent="0.25">
      <c r="A102" s="15">
        <f>Data!A102</f>
        <v>202406</v>
      </c>
      <c r="B102" s="15">
        <v>80450</v>
      </c>
      <c r="C102" s="15">
        <f>Data!F102</f>
        <v>2545</v>
      </c>
      <c r="D102" s="15">
        <f>IF(Data!D102="Mauritius", 1, 0)</f>
        <v>0</v>
      </c>
      <c r="E102" s="15">
        <f>IF(Regression!A102&gt;201500, 1, 0)</f>
        <v>1</v>
      </c>
      <c r="F102" s="15">
        <f t="shared" si="5"/>
        <v>0</v>
      </c>
      <c r="G102" s="11">
        <f>Data!J102</f>
        <v>1.7692473253429629E-4</v>
      </c>
      <c r="H102" s="11">
        <f t="shared" si="6"/>
        <v>0</v>
      </c>
      <c r="I102" s="10">
        <f>Data!H102</f>
        <v>0.90184266477675412</v>
      </c>
      <c r="J102" s="10">
        <f>Data!I102</f>
        <v>1.6192706135885626</v>
      </c>
      <c r="K102" s="10">
        <f t="shared" si="4"/>
        <v>1.6191436828406065</v>
      </c>
      <c r="L102" s="17">
        <f>Data!N102</f>
        <v>1.3084181168061848</v>
      </c>
      <c r="M102" s="15">
        <f>Data!L102</f>
        <v>833.3</v>
      </c>
      <c r="N102" s="15">
        <f>Data!M102</f>
        <v>0.19021050631999969</v>
      </c>
      <c r="O102" s="15">
        <f>Data!O102</f>
        <v>112.88140869140625</v>
      </c>
      <c r="P102" s="17">
        <f>Data!P102</f>
        <v>1</v>
      </c>
      <c r="Q102" s="17"/>
      <c r="R102" s="15"/>
      <c r="S102" s="15">
        <f t="shared" si="7"/>
        <v>0</v>
      </c>
    </row>
    <row r="103" spans="1:19" x14ac:dyDescent="0.25">
      <c r="A103" s="15">
        <f>Data!A103</f>
        <v>202405</v>
      </c>
      <c r="B103" s="15">
        <v>80450</v>
      </c>
      <c r="C103" s="15">
        <f>Data!F103</f>
        <v>28232</v>
      </c>
      <c r="D103" s="15">
        <f>IF(Data!D103="Mauritius", 1, 0)</f>
        <v>0</v>
      </c>
      <c r="E103" s="15">
        <f>IF(Regression!A103&gt;201500, 1, 0)</f>
        <v>1</v>
      </c>
      <c r="F103" s="15">
        <f t="shared" si="5"/>
        <v>0</v>
      </c>
      <c r="G103" s="11">
        <f>Data!J103</f>
        <v>9.6604673535092883E-4</v>
      </c>
      <c r="H103" s="11">
        <f t="shared" si="6"/>
        <v>0</v>
      </c>
      <c r="I103" s="10">
        <f>Data!H103</f>
        <v>2.4134040006838777</v>
      </c>
      <c r="J103" s="10">
        <f>Data!I103</f>
        <v>1.7477124868596796</v>
      </c>
      <c r="K103" s="10">
        <f t="shared" si="4"/>
        <v>1.7483555759733602</v>
      </c>
      <c r="L103" s="17">
        <f>Data!N103</f>
        <v>2.92960095546642</v>
      </c>
      <c r="M103" s="15">
        <f>Data!L103</f>
        <v>833.3</v>
      </c>
      <c r="N103" s="15">
        <f>Data!M103</f>
        <v>0.13457304239273071</v>
      </c>
      <c r="O103" s="15">
        <f>Data!O103</f>
        <v>130.52186584472656</v>
      </c>
      <c r="P103" s="17">
        <f>Data!P103</f>
        <v>0.79730000000000001</v>
      </c>
      <c r="Q103" s="17"/>
      <c r="R103" s="15"/>
      <c r="S103" s="15">
        <f t="shared" si="7"/>
        <v>0</v>
      </c>
    </row>
    <row r="104" spans="1:19" x14ac:dyDescent="0.25">
      <c r="A104" s="15">
        <f>Data!A104</f>
        <v>202404</v>
      </c>
      <c r="B104" s="15">
        <v>80450</v>
      </c>
      <c r="C104" s="15">
        <f>Data!F104</f>
        <v>16244</v>
      </c>
      <c r="D104" s="15">
        <f>IF(Data!D104="Mauritius", 1, 0)</f>
        <v>0</v>
      </c>
      <c r="E104" s="15">
        <f>IF(Regression!A104&gt;201500, 1, 0)</f>
        <v>1</v>
      </c>
      <c r="F104" s="15">
        <f t="shared" si="5"/>
        <v>0</v>
      </c>
      <c r="G104" s="11">
        <f>Data!J104</f>
        <v>7.6903189422961439E-4</v>
      </c>
      <c r="H104" s="11">
        <f t="shared" si="6"/>
        <v>0</v>
      </c>
      <c r="I104" s="10">
        <f>Data!H104</f>
        <v>2.0153846153846153</v>
      </c>
      <c r="J104" s="10">
        <f>Data!I104</f>
        <v>1.8074611014830866</v>
      </c>
      <c r="K104" s="10">
        <f t="shared" si="4"/>
        <v>1.8076210012968372</v>
      </c>
      <c r="L104" s="17">
        <f>Data!N104</f>
        <v>1.8950286708758957</v>
      </c>
      <c r="M104" s="15">
        <f>Data!L104</f>
        <v>833.3</v>
      </c>
      <c r="N104" s="15">
        <f>Data!M104</f>
        <v>0.24681982398033142</v>
      </c>
      <c r="O104" s="15">
        <f>Data!O104</f>
        <v>163.73634338378906</v>
      </c>
      <c r="P104" s="17">
        <f>Data!P104</f>
        <v>0.77049999999999996</v>
      </c>
      <c r="Q104" s="17"/>
      <c r="R104" s="15"/>
      <c r="S104" s="15">
        <f t="shared" si="7"/>
        <v>0</v>
      </c>
    </row>
    <row r="105" spans="1:19" x14ac:dyDescent="0.25">
      <c r="A105" s="15">
        <f>Data!A105</f>
        <v>202403</v>
      </c>
      <c r="B105" s="15">
        <v>80450</v>
      </c>
      <c r="C105" s="15">
        <f>Data!F105</f>
        <v>25834</v>
      </c>
      <c r="D105" s="15">
        <f>IF(Data!D105="Mauritius", 1, 0)</f>
        <v>0</v>
      </c>
      <c r="E105" s="15">
        <f>IF(Regression!A105&gt;201500, 1, 0)</f>
        <v>1</v>
      </c>
      <c r="F105" s="15">
        <f t="shared" si="5"/>
        <v>0</v>
      </c>
      <c r="G105" s="11">
        <f>Data!J105</f>
        <v>1.3625750928720403E-3</v>
      </c>
      <c r="H105" s="11">
        <f t="shared" si="6"/>
        <v>0</v>
      </c>
      <c r="I105" s="10">
        <f>Data!H105</f>
        <v>2.5756729810568295</v>
      </c>
      <c r="J105" s="10">
        <f>Data!I105</f>
        <v>1.7848654856801263</v>
      </c>
      <c r="K105" s="10">
        <f t="shared" si="4"/>
        <v>1.7859430202765831</v>
      </c>
      <c r="L105" s="17">
        <f>Data!N105</f>
        <v>1.3707444730158469</v>
      </c>
      <c r="M105" s="15">
        <f>Data!L105</f>
        <v>833.3</v>
      </c>
      <c r="N105" s="15">
        <f>Data!M105</f>
        <v>0.23973444104194641</v>
      </c>
      <c r="O105" s="15">
        <f>Data!O105</f>
        <v>133.21316528320313</v>
      </c>
      <c r="P105" s="17">
        <f>Data!P105</f>
        <v>0.7329</v>
      </c>
      <c r="Q105" s="17"/>
      <c r="R105" s="15"/>
      <c r="S105" s="15">
        <f t="shared" si="7"/>
        <v>0</v>
      </c>
    </row>
    <row r="106" spans="1:19" x14ac:dyDescent="0.25">
      <c r="A106" s="15">
        <f>Data!A106</f>
        <v>202402</v>
      </c>
      <c r="B106" s="15">
        <v>80450</v>
      </c>
      <c r="C106" s="15">
        <f>Data!F106</f>
        <v>9200</v>
      </c>
      <c r="D106" s="15">
        <f>IF(Data!D106="Mauritius", 1, 0)</f>
        <v>0</v>
      </c>
      <c r="E106" s="15">
        <f>IF(Regression!A106&gt;201500, 1, 0)</f>
        <v>1</v>
      </c>
      <c r="F106" s="15">
        <f t="shared" si="5"/>
        <v>0</v>
      </c>
      <c r="G106" s="11">
        <f>Data!J106</f>
        <v>1.0542323475382356E-3</v>
      </c>
      <c r="H106" s="11">
        <f t="shared" si="6"/>
        <v>0</v>
      </c>
      <c r="I106" s="10">
        <f>Data!H106</f>
        <v>1.884859659905757</v>
      </c>
      <c r="J106" s="10">
        <f>Data!I106</f>
        <v>1.3907869258462995</v>
      </c>
      <c r="K106" s="10">
        <f t="shared" si="4"/>
        <v>1.3913077933045817</v>
      </c>
      <c r="L106" s="17">
        <f>Data!N106</f>
        <v>1.546629853082953</v>
      </c>
      <c r="M106" s="15">
        <f>Data!L106</f>
        <v>833.3</v>
      </c>
      <c r="N106" s="15">
        <f>Data!M106</f>
        <v>0.21592618525028229</v>
      </c>
      <c r="O106" s="15">
        <f>Data!O106</f>
        <v>146.59817504882813</v>
      </c>
      <c r="P106" s="17">
        <f>Data!P106</f>
        <v>0.67069999999999996</v>
      </c>
      <c r="Q106" s="17"/>
      <c r="R106" s="15"/>
      <c r="S106" s="15">
        <f t="shared" si="7"/>
        <v>0</v>
      </c>
    </row>
    <row r="107" spans="1:19" x14ac:dyDescent="0.25">
      <c r="A107" s="15">
        <f>Data!A107</f>
        <v>202401</v>
      </c>
      <c r="B107" s="15">
        <v>80450</v>
      </c>
      <c r="C107" s="15">
        <f>Data!F107</f>
        <v>2050</v>
      </c>
      <c r="D107" s="15">
        <f>IF(Data!D107="Mauritius", 1, 0)</f>
        <v>0</v>
      </c>
      <c r="E107" s="15">
        <f>IF(Regression!A107&gt;201500, 1, 0)</f>
        <v>1</v>
      </c>
      <c r="F107" s="15">
        <f t="shared" si="5"/>
        <v>0</v>
      </c>
      <c r="G107" s="11">
        <f>Data!J107</f>
        <v>3.0752447894852428E-4</v>
      </c>
      <c r="H107" s="11">
        <f t="shared" si="6"/>
        <v>0</v>
      </c>
      <c r="I107" s="10">
        <f>Data!H107</f>
        <v>1.903435468895079</v>
      </c>
      <c r="J107" s="10">
        <f>Data!I107</f>
        <v>1.2305021716092799</v>
      </c>
      <c r="K107" s="10">
        <f t="shared" si="4"/>
        <v>1.2307091150708946</v>
      </c>
      <c r="L107" s="17">
        <f>Data!N107</f>
        <v>6.105498509824109</v>
      </c>
      <c r="M107" s="15">
        <f>Data!L107</f>
        <v>833.3</v>
      </c>
      <c r="N107" s="15">
        <f>Data!M107</f>
        <v>0.27558562159538269</v>
      </c>
      <c r="O107" s="15">
        <f>Data!O107</f>
        <v>160.16484069824219</v>
      </c>
      <c r="P107" s="17">
        <f>Data!P107</f>
        <v>0.1129</v>
      </c>
      <c r="Q107" s="17"/>
      <c r="R107" s="15"/>
      <c r="S107" s="15">
        <f t="shared" si="7"/>
        <v>0</v>
      </c>
    </row>
    <row r="108" spans="1:19" x14ac:dyDescent="0.25">
      <c r="A108" s="15">
        <f>Data!A108</f>
        <v>202312</v>
      </c>
      <c r="B108" s="15">
        <v>80450</v>
      </c>
      <c r="C108" s="15">
        <f>Data!F108</f>
        <v>5993</v>
      </c>
      <c r="D108" s="15">
        <f>IF(Data!D108="Mauritius", 1, 0)</f>
        <v>0</v>
      </c>
      <c r="E108" s="15">
        <f>IF(Regression!A108&gt;201500, 1, 0)</f>
        <v>1</v>
      </c>
      <c r="F108" s="15">
        <f t="shared" si="5"/>
        <v>0</v>
      </c>
      <c r="G108" s="11">
        <f>Data!J108</f>
        <v>9.791429321581223E-4</v>
      </c>
      <c r="H108" s="11">
        <f t="shared" si="6"/>
        <v>0</v>
      </c>
      <c r="I108" s="10">
        <f>Data!H108</f>
        <v>2.4292663153627889</v>
      </c>
      <c r="J108" s="10">
        <f>Data!I108</f>
        <v>1.23</v>
      </c>
      <c r="K108" s="10">
        <f t="shared" si="4"/>
        <v>1.2311742531364627</v>
      </c>
      <c r="L108" s="17">
        <f>Data!N108</f>
        <v>1.3489261659402811</v>
      </c>
      <c r="M108" s="15">
        <f>Data!L108</f>
        <v>825.6</v>
      </c>
      <c r="N108" s="15">
        <f>Data!M108</f>
        <v>0.22528322041034698</v>
      </c>
      <c r="O108" s="15">
        <f>Data!O108</f>
        <v>142.27946472167969</v>
      </c>
      <c r="P108" s="17">
        <f>Data!P108</f>
        <v>9.2999999999999992E-3</v>
      </c>
      <c r="Q108" s="17">
        <f>Data!R108</f>
        <v>-0.64</v>
      </c>
      <c r="R108" s="15">
        <f>Data!Q108</f>
        <v>-0.67</v>
      </c>
      <c r="S108" s="15">
        <f t="shared" si="7"/>
        <v>0</v>
      </c>
    </row>
    <row r="109" spans="1:19" x14ac:dyDescent="0.25">
      <c r="A109" s="15">
        <f>Data!A109</f>
        <v>202311</v>
      </c>
      <c r="B109" s="15">
        <v>80450</v>
      </c>
      <c r="C109" s="15">
        <f>Data!F109</f>
        <v>6050</v>
      </c>
      <c r="D109" s="15">
        <f>IF(Data!D109="Mauritius", 1, 0)</f>
        <v>0</v>
      </c>
      <c r="E109" s="15">
        <f>IF(Regression!A109&gt;201500, 1, 0)</f>
        <v>1</v>
      </c>
      <c r="F109" s="15">
        <f t="shared" si="5"/>
        <v>0</v>
      </c>
      <c r="G109" s="11">
        <f>Data!J109</f>
        <v>1.4296733066523999E-3</v>
      </c>
      <c r="H109" s="11">
        <f t="shared" si="6"/>
        <v>0</v>
      </c>
      <c r="I109" s="10">
        <f>Data!H109</f>
        <v>2.0733379026730638</v>
      </c>
      <c r="J109" s="10">
        <f>Data!I109</f>
        <v>1.2431353759588117</v>
      </c>
      <c r="K109" s="10">
        <f t="shared" si="4"/>
        <v>1.2443222943503705</v>
      </c>
      <c r="L109" s="17">
        <f>Data!N109</f>
        <v>-4.2187370291845154E-2</v>
      </c>
      <c r="M109" s="15">
        <f>Data!L109</f>
        <v>825.6</v>
      </c>
      <c r="N109" s="15">
        <f>Data!M109</f>
        <v>0.25032857060432434</v>
      </c>
      <c r="O109" s="15">
        <f>Data!O109</f>
        <v>156.69613647460938</v>
      </c>
      <c r="P109" s="17">
        <f>Data!P109</f>
        <v>7.7999999999999996E-3</v>
      </c>
      <c r="Q109" s="17">
        <f>Data!R109</f>
        <v>-0.64</v>
      </c>
      <c r="R109" s="15">
        <f>Data!Q109</f>
        <v>-0.67</v>
      </c>
      <c r="S109" s="15">
        <f t="shared" si="7"/>
        <v>0</v>
      </c>
    </row>
    <row r="110" spans="1:19" x14ac:dyDescent="0.25">
      <c r="A110" s="15">
        <f>Data!A110</f>
        <v>202310</v>
      </c>
      <c r="B110" s="15">
        <v>80450</v>
      </c>
      <c r="C110" s="15">
        <f>Data!F110</f>
        <v>16565</v>
      </c>
      <c r="D110" s="15">
        <f>IF(Data!D110="Mauritius", 1, 0)</f>
        <v>0</v>
      </c>
      <c r="E110" s="15">
        <f>IF(Regression!A110&gt;201500, 1, 0)</f>
        <v>1</v>
      </c>
      <c r="F110" s="15">
        <f t="shared" si="5"/>
        <v>0</v>
      </c>
      <c r="G110" s="11">
        <f>Data!J110</f>
        <v>2.1508213306942652E-3</v>
      </c>
      <c r="H110" s="11">
        <f t="shared" si="6"/>
        <v>0</v>
      </c>
      <c r="I110" s="10">
        <f>Data!H110</f>
        <v>2.9261614555732205</v>
      </c>
      <c r="J110" s="10">
        <f>Data!I110</f>
        <v>1.2663608343959361</v>
      </c>
      <c r="K110" s="10">
        <f t="shared" si="4"/>
        <v>1.2699307689766639</v>
      </c>
      <c r="L110" s="17">
        <f>Data!N110</f>
        <v>0.17650552199029385</v>
      </c>
      <c r="M110" s="15">
        <f>Data!L110</f>
        <v>825.6</v>
      </c>
      <c r="N110" s="15">
        <f>Data!M110</f>
        <v>0.22093509137630463</v>
      </c>
      <c r="O110" s="15">
        <f>Data!O110</f>
        <v>197.88700866699219</v>
      </c>
      <c r="P110" s="17">
        <f>Data!P110</f>
        <v>7.8700000000000006E-2</v>
      </c>
      <c r="Q110" s="17">
        <f>Data!R110</f>
        <v>-0.64</v>
      </c>
      <c r="R110" s="15">
        <f>Data!Q110</f>
        <v>-0.67</v>
      </c>
      <c r="S110" s="15">
        <f t="shared" si="7"/>
        <v>0</v>
      </c>
    </row>
    <row r="111" spans="1:19" x14ac:dyDescent="0.25">
      <c r="A111" s="15">
        <f>Data!A111</f>
        <v>202309</v>
      </c>
      <c r="B111" s="15">
        <v>80450</v>
      </c>
      <c r="C111" s="15">
        <f>Data!F111</f>
        <v>9181</v>
      </c>
      <c r="D111" s="15">
        <f>IF(Data!D111="Mauritius", 1, 0)</f>
        <v>0</v>
      </c>
      <c r="E111" s="15">
        <f>IF(Regression!A111&gt;201500, 1, 0)</f>
        <v>1</v>
      </c>
      <c r="F111" s="15">
        <f t="shared" si="5"/>
        <v>0</v>
      </c>
      <c r="G111" s="11">
        <f>Data!J111</f>
        <v>1.0459307245482595E-3</v>
      </c>
      <c r="H111" s="11">
        <f t="shared" si="6"/>
        <v>0</v>
      </c>
      <c r="I111" s="10">
        <f>Data!H111</f>
        <v>2.0956402647797305</v>
      </c>
      <c r="J111" s="10">
        <f>Data!I111</f>
        <v>1.1297711338462666</v>
      </c>
      <c r="K111" s="10">
        <f t="shared" si="4"/>
        <v>1.1307813660462025</v>
      </c>
      <c r="L111" s="17">
        <f>Data!N111</f>
        <v>1.3276524112754484</v>
      </c>
      <c r="M111" s="15">
        <f>Data!L111</f>
        <v>825.6</v>
      </c>
      <c r="N111" s="15">
        <f>Data!M111</f>
        <v>0.45979791879653931</v>
      </c>
      <c r="O111" s="15">
        <f>Data!O111</f>
        <v>98.634811401367188</v>
      </c>
      <c r="P111" s="17">
        <f>Data!P111</f>
        <v>0.1145</v>
      </c>
      <c r="Q111" s="17">
        <f>Data!R111</f>
        <v>-0.64</v>
      </c>
      <c r="R111" s="15">
        <f>Data!Q111</f>
        <v>-0.67</v>
      </c>
      <c r="S111" s="15">
        <f t="shared" si="7"/>
        <v>0</v>
      </c>
    </row>
    <row r="112" spans="1:19" x14ac:dyDescent="0.25">
      <c r="A112" s="15">
        <f>Data!A112</f>
        <v>202308</v>
      </c>
      <c r="B112" s="15">
        <v>80450</v>
      </c>
      <c r="C112" s="15">
        <f>Data!F112</f>
        <v>12766</v>
      </c>
      <c r="D112" s="15">
        <f>IF(Data!D112="Mauritius", 1, 0)</f>
        <v>0</v>
      </c>
      <c r="E112" s="15">
        <f>IF(Regression!A112&gt;201500, 1, 0)</f>
        <v>1</v>
      </c>
      <c r="F112" s="15">
        <f t="shared" si="5"/>
        <v>0</v>
      </c>
      <c r="G112" s="11">
        <f>Data!J112</f>
        <v>1.0280774838306911E-3</v>
      </c>
      <c r="H112" s="11">
        <f t="shared" si="6"/>
        <v>0</v>
      </c>
      <c r="I112" s="10">
        <f>Data!H112</f>
        <v>2.3777239709443099</v>
      </c>
      <c r="J112" s="10">
        <f>Data!I112</f>
        <v>1.107236127349678</v>
      </c>
      <c r="K112" s="10">
        <f t="shared" si="4"/>
        <v>1.1085422872951582</v>
      </c>
      <c r="L112" s="17">
        <f>Data!N112</f>
        <v>1.7606102257096117</v>
      </c>
      <c r="M112" s="15">
        <f>Data!L112</f>
        <v>825.6</v>
      </c>
      <c r="N112" s="15">
        <f>Data!M112</f>
        <v>0.31549569964408875</v>
      </c>
      <c r="O112" s="15">
        <f>Data!O112</f>
        <v>101.14118194580078</v>
      </c>
      <c r="P112" s="17">
        <f>Data!P112</f>
        <v>7.1099999999999997E-2</v>
      </c>
      <c r="Q112" s="17">
        <f>Data!R112</f>
        <v>-0.64</v>
      </c>
      <c r="R112" s="15">
        <f>Data!Q112</f>
        <v>-0.67</v>
      </c>
      <c r="S112" s="15">
        <f t="shared" si="7"/>
        <v>0</v>
      </c>
    </row>
    <row r="113" spans="1:19" x14ac:dyDescent="0.25">
      <c r="A113" s="15">
        <f>Data!A113</f>
        <v>202307</v>
      </c>
      <c r="B113" s="15">
        <v>80450</v>
      </c>
      <c r="C113" s="15">
        <f>Data!F113</f>
        <v>1334</v>
      </c>
      <c r="D113" s="15">
        <f>IF(Data!D113="Mauritius", 1, 0)</f>
        <v>0</v>
      </c>
      <c r="E113" s="15">
        <f>IF(Regression!A113&gt;201500, 1, 0)</f>
        <v>1</v>
      </c>
      <c r="F113" s="15">
        <f t="shared" si="5"/>
        <v>0</v>
      </c>
      <c r="G113" s="11">
        <f>Data!J113</f>
        <v>8.7342042832171151E-5</v>
      </c>
      <c r="H113" s="11">
        <f t="shared" si="6"/>
        <v>0</v>
      </c>
      <c r="I113" s="10">
        <f>Data!H113</f>
        <v>2.1691056910569104</v>
      </c>
      <c r="J113" s="10">
        <f>Data!I113</f>
        <v>1.0581756376544122</v>
      </c>
      <c r="K113" s="10">
        <f t="shared" si="4"/>
        <v>1.0582726685547201</v>
      </c>
      <c r="L113" s="17">
        <f>Data!N113</f>
        <v>1.2534421736035484</v>
      </c>
      <c r="M113" s="15">
        <f>Data!L113</f>
        <v>825.6</v>
      </c>
      <c r="N113" s="15">
        <f>Data!M113</f>
        <v>0.21112766861915588</v>
      </c>
      <c r="O113" s="15">
        <f>Data!O113</f>
        <v>107.44878387451172</v>
      </c>
      <c r="P113" s="17">
        <f>Data!P113</f>
        <v>5.91E-2</v>
      </c>
      <c r="Q113" s="17">
        <f>Data!R113</f>
        <v>-0.64</v>
      </c>
      <c r="R113" s="15">
        <f>Data!Q113</f>
        <v>-0.67</v>
      </c>
      <c r="S113" s="15">
        <f t="shared" si="7"/>
        <v>0</v>
      </c>
    </row>
    <row r="114" spans="1:19" x14ac:dyDescent="0.25">
      <c r="A114" s="15">
        <f>Data!A114</f>
        <v>202306</v>
      </c>
      <c r="B114" s="15">
        <v>80450</v>
      </c>
      <c r="C114" s="15">
        <f>Data!F114</f>
        <v>9773</v>
      </c>
      <c r="D114" s="15">
        <f>IF(Data!D114="Mauritius", 1, 0)</f>
        <v>0</v>
      </c>
      <c r="E114" s="15">
        <f>IF(Regression!A114&gt;201500, 1, 0)</f>
        <v>1</v>
      </c>
      <c r="F114" s="15">
        <f t="shared" si="5"/>
        <v>0</v>
      </c>
      <c r="G114" s="11">
        <f>Data!J114</f>
        <v>5.5049655374962616E-4</v>
      </c>
      <c r="H114" s="11">
        <f t="shared" si="6"/>
        <v>0</v>
      </c>
      <c r="I114" s="10">
        <f>Data!H114</f>
        <v>1.8523502653525399</v>
      </c>
      <c r="J114" s="10">
        <f>Data!I114</f>
        <v>1.5452009942240343</v>
      </c>
      <c r="K114" s="10">
        <f t="shared" si="4"/>
        <v>1.5453700788392775</v>
      </c>
      <c r="L114" s="17">
        <f>Data!N114</f>
        <v>1.5001433914370317</v>
      </c>
      <c r="M114" s="15">
        <f>Data!L114</f>
        <v>825.6</v>
      </c>
      <c r="N114" s="15">
        <f>Data!M114</f>
        <v>0.26301303505897522</v>
      </c>
      <c r="O114" s="15">
        <f>Data!O114</f>
        <v>110.52894592285156</v>
      </c>
      <c r="P114" s="17">
        <f>Data!P114</f>
        <v>0.36730000000000002</v>
      </c>
      <c r="Q114" s="17">
        <f>Data!R114</f>
        <v>-0.64</v>
      </c>
      <c r="R114" s="15">
        <f>Data!Q114</f>
        <v>-0.67</v>
      </c>
      <c r="S114" s="15">
        <f t="shared" si="7"/>
        <v>0</v>
      </c>
    </row>
    <row r="115" spans="1:19" x14ac:dyDescent="0.25">
      <c r="A115" s="15">
        <f>Data!A115</f>
        <v>202305</v>
      </c>
      <c r="B115" s="15">
        <v>80450</v>
      </c>
      <c r="C115" s="15">
        <f>Data!F115</f>
        <v>10149</v>
      </c>
      <c r="D115" s="15">
        <f>IF(Data!D115="Mauritius", 1, 0)</f>
        <v>0</v>
      </c>
      <c r="E115" s="15">
        <f>IF(Regression!A115&gt;201500, 1, 0)</f>
        <v>1</v>
      </c>
      <c r="F115" s="15">
        <f t="shared" si="5"/>
        <v>0</v>
      </c>
      <c r="G115" s="11">
        <f>Data!J115</f>
        <v>3.8290957855724472E-4</v>
      </c>
      <c r="H115" s="11">
        <f t="shared" si="6"/>
        <v>0</v>
      </c>
      <c r="I115" s="10">
        <f>Data!H115</f>
        <v>1.8081239978621058</v>
      </c>
      <c r="J115" s="10">
        <f>Data!I115</f>
        <v>1.6160682041160335</v>
      </c>
      <c r="K115" s="10">
        <f t="shared" si="4"/>
        <v>1.6161417441190762</v>
      </c>
      <c r="L115" s="17">
        <f>Data!N115</f>
        <v>2.8885565361349226</v>
      </c>
      <c r="M115" s="15">
        <f>Data!L115</f>
        <v>825.6</v>
      </c>
      <c r="N115" s="15">
        <f>Data!M115</f>
        <v>0.31503695249557495</v>
      </c>
      <c r="O115" s="15">
        <f>Data!O115</f>
        <v>108.46768188476563</v>
      </c>
      <c r="P115" s="17">
        <f>Data!P115</f>
        <v>0.27060000000000001</v>
      </c>
      <c r="Q115" s="17">
        <f>Data!R115</f>
        <v>-0.64</v>
      </c>
      <c r="R115" s="15">
        <f>Data!Q115</f>
        <v>-0.67</v>
      </c>
      <c r="S115" s="15">
        <f t="shared" si="7"/>
        <v>0</v>
      </c>
    </row>
    <row r="116" spans="1:19" x14ac:dyDescent="0.25">
      <c r="A116" s="15">
        <f>Data!A116</f>
        <v>202304</v>
      </c>
      <c r="B116" s="15">
        <v>80450</v>
      </c>
      <c r="C116" s="15">
        <f>Data!F116</f>
        <v>242</v>
      </c>
      <c r="D116" s="15">
        <f>IF(Data!D116="Mauritius", 1, 0)</f>
        <v>0</v>
      </c>
      <c r="E116" s="15">
        <f>IF(Regression!A116&gt;201500, 1, 0)</f>
        <v>1</v>
      </c>
      <c r="F116" s="15">
        <f t="shared" si="5"/>
        <v>0</v>
      </c>
      <c r="G116" s="11">
        <f>Data!J116</f>
        <v>1.2794065921900474E-5</v>
      </c>
      <c r="H116" s="11">
        <f t="shared" si="6"/>
        <v>0</v>
      </c>
      <c r="I116" s="10">
        <f>Data!H116</f>
        <v>1.6575342465753424</v>
      </c>
      <c r="J116" s="10">
        <f>Data!I116</f>
        <v>1.7850798991145389</v>
      </c>
      <c r="K116" s="10">
        <f t="shared" si="4"/>
        <v>1.7850782672870522</v>
      </c>
      <c r="L116" s="17">
        <f>Data!N116</f>
        <v>-0.14600799347665344</v>
      </c>
      <c r="M116" s="15">
        <f>Data!L116</f>
        <v>825.6</v>
      </c>
      <c r="N116" s="15">
        <f>Data!M116</f>
        <v>0.24643319845199585</v>
      </c>
      <c r="O116" s="15">
        <f>Data!O116</f>
        <v>106.80965423583984</v>
      </c>
      <c r="P116" s="17">
        <f>Data!P116</f>
        <v>9.1000000000000004E-3</v>
      </c>
      <c r="Q116" s="17">
        <f>Data!R116</f>
        <v>-0.64</v>
      </c>
      <c r="R116" s="15">
        <f>Data!Q116</f>
        <v>-0.67</v>
      </c>
      <c r="S116" s="15">
        <f t="shared" si="7"/>
        <v>0</v>
      </c>
    </row>
    <row r="117" spans="1:19" x14ac:dyDescent="0.25">
      <c r="A117" s="15">
        <f>Data!A117</f>
        <v>202303</v>
      </c>
      <c r="B117" s="15">
        <v>80450</v>
      </c>
      <c r="C117" s="15">
        <f>Data!F117</f>
        <v>4390</v>
      </c>
      <c r="D117" s="15">
        <f>IF(Data!D117="Mauritius", 1, 0)</f>
        <v>0</v>
      </c>
      <c r="E117" s="15">
        <f>IF(Regression!A117&gt;201500, 1, 0)</f>
        <v>1</v>
      </c>
      <c r="F117" s="15">
        <f t="shared" si="5"/>
        <v>0</v>
      </c>
      <c r="G117" s="11">
        <f>Data!J117</f>
        <v>2.6861446212921567E-4</v>
      </c>
      <c r="H117" s="11">
        <f t="shared" si="6"/>
        <v>0</v>
      </c>
      <c r="I117" s="10">
        <f>Data!H117</f>
        <v>1.9390459363957597</v>
      </c>
      <c r="J117" s="10">
        <f>Data!I117</f>
        <v>1.6928368476457547</v>
      </c>
      <c r="K117" s="10">
        <f t="shared" si="4"/>
        <v>1.6929029829677007</v>
      </c>
      <c r="L117" s="17">
        <f>Data!N117</f>
        <v>0.15740928060981249</v>
      </c>
      <c r="M117" s="15">
        <f>Data!L117</f>
        <v>825.6</v>
      </c>
      <c r="N117" s="15">
        <f>Data!M117</f>
        <v>0.30663993954658508</v>
      </c>
      <c r="O117" s="15">
        <f>Data!O117</f>
        <v>105.37997436523438</v>
      </c>
      <c r="P117" s="17">
        <f>Data!P117</f>
        <v>9.8199999999999996E-2</v>
      </c>
      <c r="Q117" s="17">
        <f>Data!R117</f>
        <v>-0.64</v>
      </c>
      <c r="R117" s="15">
        <f>Data!Q117</f>
        <v>-0.67</v>
      </c>
      <c r="S117" s="15">
        <f t="shared" si="7"/>
        <v>0</v>
      </c>
    </row>
    <row r="118" spans="1:19" x14ac:dyDescent="0.25">
      <c r="A118" s="15">
        <f>Data!A118</f>
        <v>202302</v>
      </c>
      <c r="B118" s="15">
        <v>80450</v>
      </c>
      <c r="C118" s="15">
        <f>Data!F118</f>
        <v>2310</v>
      </c>
      <c r="D118" s="15">
        <f>IF(Data!D118="Mauritius", 1, 0)</f>
        <v>0</v>
      </c>
      <c r="E118" s="15">
        <f>IF(Regression!A118&gt;201500, 1, 0)</f>
        <v>1</v>
      </c>
      <c r="F118" s="15">
        <f t="shared" si="5"/>
        <v>0</v>
      </c>
      <c r="G118" s="11">
        <f>Data!J118</f>
        <v>2.3197925402501581E-4</v>
      </c>
      <c r="H118" s="11">
        <f t="shared" si="6"/>
        <v>0</v>
      </c>
      <c r="I118" s="10">
        <f>Data!H118</f>
        <v>2.2427184466019416</v>
      </c>
      <c r="J118" s="10">
        <f>Data!I118</f>
        <v>1.3625964873870238</v>
      </c>
      <c r="K118" s="10">
        <f t="shared" si="4"/>
        <v>1.3628006574225735</v>
      </c>
      <c r="L118" s="17">
        <f>Data!N118</f>
        <v>0.82402621300454082</v>
      </c>
      <c r="M118" s="15">
        <f>Data!L118</f>
        <v>825.6</v>
      </c>
      <c r="N118" s="15">
        <f>Data!M118</f>
        <v>0.29352903366088867</v>
      </c>
      <c r="O118" s="15">
        <f>Data!O118</f>
        <v>120.99437713623047</v>
      </c>
      <c r="P118" s="17">
        <f>Data!P118</f>
        <v>3.5299999999999998E-2</v>
      </c>
      <c r="Q118" s="17">
        <f>Data!R118</f>
        <v>-0.64</v>
      </c>
      <c r="R118" s="15">
        <f>Data!Q118</f>
        <v>-0.67</v>
      </c>
      <c r="S118" s="15">
        <f t="shared" si="7"/>
        <v>0</v>
      </c>
    </row>
    <row r="119" spans="1:19" x14ac:dyDescent="0.25">
      <c r="A119" s="15">
        <f>Data!A119</f>
        <v>202301</v>
      </c>
      <c r="B119" s="15">
        <v>80450</v>
      </c>
      <c r="C119" s="15">
        <f>Data!F119</f>
        <v>9983</v>
      </c>
      <c r="D119" s="15">
        <f>IF(Data!D119="Mauritius", 1, 0)</f>
        <v>0</v>
      </c>
      <c r="E119" s="15">
        <f>IF(Regression!A119&gt;201500, 1, 0)</f>
        <v>1</v>
      </c>
      <c r="F119" s="15">
        <f t="shared" si="5"/>
        <v>0</v>
      </c>
      <c r="G119" s="11">
        <f>Data!J119</f>
        <v>9.4743334583860571E-4</v>
      </c>
      <c r="H119" s="11">
        <f t="shared" si="6"/>
        <v>0</v>
      </c>
      <c r="I119" s="10">
        <f>Data!H119</f>
        <v>2.5051442910915935</v>
      </c>
      <c r="J119" s="10">
        <f>Data!I119</f>
        <v>1.2950243232882781</v>
      </c>
      <c r="K119" s="10">
        <f t="shared" si="4"/>
        <v>1.2961708312982401</v>
      </c>
      <c r="L119" s="17">
        <f>Data!N119</f>
        <v>-0.47250389662637798</v>
      </c>
      <c r="M119" s="15">
        <f>Data!L119</f>
        <v>825.6</v>
      </c>
      <c r="N119" s="15">
        <f>Data!M119</f>
        <v>0.19585543870925903</v>
      </c>
      <c r="O119" s="15">
        <f>Data!O119</f>
        <v>104.26704406738281</v>
      </c>
      <c r="P119" s="17">
        <f>Data!P119</f>
        <v>4.2000000000000003E-2</v>
      </c>
      <c r="Q119" s="17">
        <f>Data!R119</f>
        <v>-0.64</v>
      </c>
      <c r="R119" s="15">
        <f>Data!Q119</f>
        <v>-0.67</v>
      </c>
      <c r="S119" s="15">
        <f t="shared" si="7"/>
        <v>0</v>
      </c>
    </row>
    <row r="120" spans="1:19" x14ac:dyDescent="0.25">
      <c r="A120" s="15">
        <f>Data!A120</f>
        <v>202212</v>
      </c>
      <c r="B120" s="15">
        <v>80450</v>
      </c>
      <c r="C120" s="15">
        <f>Data!F120</f>
        <v>21305</v>
      </c>
      <c r="D120" s="15">
        <f>IF(Data!D120="Mauritius", 1, 0)</f>
        <v>0</v>
      </c>
      <c r="E120" s="15">
        <f>IF(Regression!A120&gt;201500, 1, 0)</f>
        <v>1</v>
      </c>
      <c r="F120" s="15">
        <f t="shared" si="5"/>
        <v>0</v>
      </c>
      <c r="G120" s="11">
        <f>Data!J120</f>
        <v>1.7764936659516498E-3</v>
      </c>
      <c r="H120" s="11">
        <f t="shared" si="6"/>
        <v>0</v>
      </c>
      <c r="I120" s="10">
        <f>Data!H120</f>
        <v>2.4604457789583094</v>
      </c>
      <c r="J120" s="10">
        <f>Data!I120</f>
        <v>1.363934905387854</v>
      </c>
      <c r="K120" s="10">
        <f t="shared" si="4"/>
        <v>1.3658828500093989</v>
      </c>
      <c r="L120" s="17">
        <f>Data!N120</f>
        <v>-0.48914146994522728</v>
      </c>
      <c r="M120" s="15">
        <f>Data!L120</f>
        <v>843.6</v>
      </c>
      <c r="N120" s="15">
        <f>Data!M120</f>
        <v>0.24796974658966064</v>
      </c>
      <c r="O120" s="15">
        <f>Data!O120</f>
        <v>111.19593811035156</v>
      </c>
      <c r="P120" s="17">
        <f>Data!P120</f>
        <v>6.8699999999999997E-2</v>
      </c>
      <c r="Q120" s="17">
        <f>Data!R120</f>
        <v>-0.62</v>
      </c>
      <c r="R120" s="15">
        <f>Data!Q120</f>
        <v>-0.68</v>
      </c>
      <c r="S120" s="15">
        <f t="shared" si="7"/>
        <v>0</v>
      </c>
    </row>
    <row r="121" spans="1:19" x14ac:dyDescent="0.25">
      <c r="A121" s="15">
        <f>Data!A121</f>
        <v>202211</v>
      </c>
      <c r="B121" s="15">
        <v>80450</v>
      </c>
      <c r="C121" s="15">
        <f>Data!F121</f>
        <v>11409</v>
      </c>
      <c r="D121" s="15">
        <f>IF(Data!D121="Mauritius", 1, 0)</f>
        <v>0</v>
      </c>
      <c r="E121" s="15">
        <f>IF(Regression!A121&gt;201500, 1, 0)</f>
        <v>1</v>
      </c>
      <c r="F121" s="15">
        <f t="shared" si="5"/>
        <v>0</v>
      </c>
      <c r="G121" s="11">
        <f>Data!J121</f>
        <v>7.1125684114808788E-4</v>
      </c>
      <c r="H121" s="11">
        <f t="shared" si="6"/>
        <v>0</v>
      </c>
      <c r="I121" s="10">
        <f>Data!H121</f>
        <v>2.2003857280617165</v>
      </c>
      <c r="J121" s="10">
        <f>Data!I121</f>
        <v>1.3706627120642716</v>
      </c>
      <c r="K121" s="10">
        <f t="shared" si="4"/>
        <v>1.371252858235658</v>
      </c>
      <c r="L121" s="17">
        <f>Data!N121</f>
        <v>0.37364655139911357</v>
      </c>
      <c r="M121" s="15">
        <f>Data!L121</f>
        <v>843.6</v>
      </c>
      <c r="N121" s="15">
        <f>Data!M121</f>
        <v>0.29648211598396301</v>
      </c>
      <c r="O121" s="15">
        <f>Data!O121</f>
        <v>116.71628570556641</v>
      </c>
      <c r="P121" s="17">
        <f>Data!P121</f>
        <v>2.5000000000000001E-2</v>
      </c>
      <c r="Q121" s="17">
        <f>Data!R121</f>
        <v>-0.62</v>
      </c>
      <c r="R121" s="15">
        <f>Data!Q121</f>
        <v>-0.68</v>
      </c>
      <c r="S121" s="15">
        <f t="shared" si="7"/>
        <v>0</v>
      </c>
    </row>
    <row r="122" spans="1:19" x14ac:dyDescent="0.25">
      <c r="A122" s="15">
        <f>Data!A122</f>
        <v>202210</v>
      </c>
      <c r="B122" s="15">
        <v>80450</v>
      </c>
      <c r="C122" s="15">
        <f>Data!F122</f>
        <v>394</v>
      </c>
      <c r="D122" s="15">
        <f>IF(Data!D122="Mauritius", 1, 0)</f>
        <v>0</v>
      </c>
      <c r="E122" s="15">
        <f>IF(Regression!A122&gt;201500, 1, 0)</f>
        <v>1</v>
      </c>
      <c r="F122" s="15">
        <f t="shared" si="5"/>
        <v>0</v>
      </c>
      <c r="G122" s="11">
        <f>Data!J122</f>
        <v>2.315818107417048E-5</v>
      </c>
      <c r="H122" s="11">
        <f t="shared" si="6"/>
        <v>0</v>
      </c>
      <c r="I122" s="10">
        <f>Data!H122</f>
        <v>1.6485355648535565</v>
      </c>
      <c r="J122" s="10">
        <f>Data!I122</f>
        <v>1.3232738622972526</v>
      </c>
      <c r="K122" s="10">
        <f t="shared" si="4"/>
        <v>1.3232813947666571</v>
      </c>
      <c r="L122" s="17">
        <f>Data!N122</f>
        <v>-0.29652241907502486</v>
      </c>
      <c r="M122" s="15">
        <f>Data!L122</f>
        <v>843.6</v>
      </c>
      <c r="N122" s="15">
        <f>Data!M122</f>
        <v>0.30671361088752747</v>
      </c>
      <c r="O122" s="15">
        <f>Data!O122</f>
        <v>143.16241455078125</v>
      </c>
      <c r="P122" s="17">
        <f>Data!P122</f>
        <v>1.8E-3</v>
      </c>
      <c r="Q122" s="17">
        <f>Data!R122</f>
        <v>-0.62</v>
      </c>
      <c r="R122" s="15">
        <f>Data!Q122</f>
        <v>-0.68</v>
      </c>
      <c r="S122" s="15">
        <f t="shared" si="7"/>
        <v>0</v>
      </c>
    </row>
    <row r="123" spans="1:19" x14ac:dyDescent="0.25">
      <c r="A123" s="15">
        <f>Data!A123</f>
        <v>202209</v>
      </c>
      <c r="B123" s="15">
        <v>80450</v>
      </c>
      <c r="C123" s="15">
        <f>Data!F123</f>
        <v>4577</v>
      </c>
      <c r="D123" s="15">
        <f>IF(Data!D123="Mauritius", 1, 0)</f>
        <v>0</v>
      </c>
      <c r="E123" s="15">
        <f>IF(Regression!A123&gt;201500, 1, 0)</f>
        <v>1</v>
      </c>
      <c r="F123" s="15">
        <f t="shared" si="5"/>
        <v>0</v>
      </c>
      <c r="G123" s="11">
        <f>Data!J123</f>
        <v>1.7424696150912411E-4</v>
      </c>
      <c r="H123" s="11">
        <f t="shared" si="6"/>
        <v>0</v>
      </c>
      <c r="I123" s="10">
        <f>Data!H123</f>
        <v>1.8242327620565963</v>
      </c>
      <c r="J123" s="10">
        <f>Data!I123</f>
        <v>1.3487114818036277</v>
      </c>
      <c r="K123" s="10">
        <f t="shared" si="4"/>
        <v>1.3487943399418445</v>
      </c>
      <c r="L123" s="17">
        <f>Data!N123</f>
        <v>-0.53235356649611187</v>
      </c>
      <c r="M123" s="15">
        <f>Data!L123</f>
        <v>843.6</v>
      </c>
      <c r="N123" s="15">
        <f>Data!M123</f>
        <v>0.50662738084793091</v>
      </c>
      <c r="O123" s="15">
        <f>Data!O123</f>
        <v>131.98587036132813</v>
      </c>
      <c r="P123" s="17">
        <f>Data!P123</f>
        <v>4.7399999999999998E-2</v>
      </c>
      <c r="Q123" s="17">
        <f>Data!R123</f>
        <v>-0.62</v>
      </c>
      <c r="R123" s="15">
        <f>Data!Q123</f>
        <v>-0.68</v>
      </c>
      <c r="S123" s="15">
        <f t="shared" si="7"/>
        <v>0</v>
      </c>
    </row>
    <row r="124" spans="1:19" x14ac:dyDescent="0.25">
      <c r="A124" s="15">
        <f>Data!A124</f>
        <v>202208</v>
      </c>
      <c r="B124" s="15">
        <v>80450</v>
      </c>
      <c r="C124" s="15">
        <f>Data!F124</f>
        <v>1441</v>
      </c>
      <c r="D124" s="15">
        <f>IF(Data!D124="Mauritius", 1, 0)</f>
        <v>0</v>
      </c>
      <c r="E124" s="15">
        <f>IF(Regression!A124&gt;201500, 1, 0)</f>
        <v>1</v>
      </c>
      <c r="F124" s="15">
        <f t="shared" si="5"/>
        <v>0</v>
      </c>
      <c r="G124" s="11">
        <f>Data!J124</f>
        <v>5.2129250152752091E-5</v>
      </c>
      <c r="H124" s="11">
        <f t="shared" si="6"/>
        <v>0</v>
      </c>
      <c r="I124" s="10">
        <f>Data!H124</f>
        <v>2.8820000000000001</v>
      </c>
      <c r="J124" s="10">
        <f>Data!I124</f>
        <v>1.2977325009604068</v>
      </c>
      <c r="K124" s="10">
        <f t="shared" si="4"/>
        <v>1.2978150876371732</v>
      </c>
      <c r="L124" s="17">
        <f>Data!N124</f>
        <v>-0.1130246210846034</v>
      </c>
      <c r="M124" s="15">
        <f>Data!L124</f>
        <v>843.6</v>
      </c>
      <c r="N124" s="15">
        <f>Data!M124</f>
        <v>0.24869729578495026</v>
      </c>
      <c r="O124" s="15">
        <f>Data!O124</f>
        <v>132.86322021484375</v>
      </c>
      <c r="P124" s="17">
        <f>Data!P124</f>
        <v>3.73E-2</v>
      </c>
      <c r="Q124" s="17">
        <f>Data!R124</f>
        <v>-0.62</v>
      </c>
      <c r="R124" s="15">
        <f>Data!Q124</f>
        <v>-0.68</v>
      </c>
      <c r="S124" s="15">
        <f t="shared" si="7"/>
        <v>0</v>
      </c>
    </row>
    <row r="125" spans="1:19" x14ac:dyDescent="0.25">
      <c r="A125" s="15">
        <f>Data!A125</f>
        <v>202207</v>
      </c>
      <c r="B125" s="15">
        <v>80450</v>
      </c>
      <c r="C125" s="15">
        <f>Data!F125</f>
        <v>9951</v>
      </c>
      <c r="D125" s="15">
        <f>IF(Data!D125="Mauritius", 1, 0)</f>
        <v>0</v>
      </c>
      <c r="E125" s="15">
        <f>IF(Regression!A125&gt;201500, 1, 0)</f>
        <v>1</v>
      </c>
      <c r="F125" s="15">
        <f t="shared" si="5"/>
        <v>0</v>
      </c>
      <c r="G125" s="11">
        <f>Data!J125</f>
        <v>4.8709926100027603E-4</v>
      </c>
      <c r="H125" s="11">
        <f t="shared" si="6"/>
        <v>0</v>
      </c>
      <c r="I125" s="10">
        <f>Data!H125</f>
        <v>1.8878770631758679</v>
      </c>
      <c r="J125" s="10">
        <f>Data!I125</f>
        <v>1.1014206687475789</v>
      </c>
      <c r="K125" s="10">
        <f t="shared" si="4"/>
        <v>1.1018037510761138</v>
      </c>
      <c r="L125" s="17">
        <f>Data!N125</f>
        <v>-0.27234458799086814</v>
      </c>
      <c r="M125" s="15">
        <f>Data!L125</f>
        <v>843.6</v>
      </c>
      <c r="N125" s="15">
        <f>Data!M125</f>
        <v>0.27303358912467957</v>
      </c>
      <c r="O125" s="15">
        <f>Data!O125</f>
        <v>117.17676544189453</v>
      </c>
      <c r="P125" s="17">
        <f>Data!P125</f>
        <v>0.47</v>
      </c>
      <c r="Q125" s="17">
        <f>Data!R125</f>
        <v>-0.62</v>
      </c>
      <c r="R125" s="15">
        <f>Data!Q125</f>
        <v>-0.68</v>
      </c>
      <c r="S125" s="15">
        <f t="shared" si="7"/>
        <v>0</v>
      </c>
    </row>
    <row r="126" spans="1:19" x14ac:dyDescent="0.25">
      <c r="A126" s="15">
        <f>Data!A126</f>
        <v>202206</v>
      </c>
      <c r="B126" s="15">
        <v>80450</v>
      </c>
      <c r="C126" s="15">
        <f>Data!F126</f>
        <v>3403</v>
      </c>
      <c r="D126" s="15">
        <f>IF(Data!D126="Mauritius", 1, 0)</f>
        <v>0</v>
      </c>
      <c r="E126" s="15">
        <f>IF(Regression!A126&gt;201500, 1, 0)</f>
        <v>1</v>
      </c>
      <c r="F126" s="15">
        <f t="shared" si="5"/>
        <v>0</v>
      </c>
      <c r="G126" s="11">
        <f>Data!J126</f>
        <v>1.9164675813711693E-4</v>
      </c>
      <c r="H126" s="11">
        <f t="shared" si="6"/>
        <v>0</v>
      </c>
      <c r="I126" s="10">
        <f>Data!H126</f>
        <v>1.0429053018694452</v>
      </c>
      <c r="J126" s="10">
        <f>Data!I126</f>
        <v>1.2150251758477455</v>
      </c>
      <c r="K126" s="10">
        <f t="shared" si="4"/>
        <v>1.2149921896318865</v>
      </c>
      <c r="L126" s="17">
        <f>Data!N126</f>
        <v>1.7189036876936604E-2</v>
      </c>
      <c r="M126" s="15">
        <f>Data!L126</f>
        <v>843.6</v>
      </c>
      <c r="N126" s="15">
        <f>Data!M126</f>
        <v>0.37673652172088623</v>
      </c>
      <c r="O126" s="15">
        <f>Data!O126</f>
        <v>130.70732116699219</v>
      </c>
      <c r="P126" s="17">
        <f>Data!P126</f>
        <v>0.20669999999999999</v>
      </c>
      <c r="Q126" s="17">
        <f>Data!R126</f>
        <v>-0.62</v>
      </c>
      <c r="R126" s="15">
        <f>Data!Q126</f>
        <v>-0.68</v>
      </c>
      <c r="S126" s="15">
        <f t="shared" si="7"/>
        <v>0</v>
      </c>
    </row>
    <row r="127" spans="1:19" x14ac:dyDescent="0.25">
      <c r="A127" s="15">
        <f>Data!A127</f>
        <v>202205</v>
      </c>
      <c r="B127" s="15">
        <v>80450</v>
      </c>
      <c r="C127" s="15">
        <f>Data!F127</f>
        <v>1536</v>
      </c>
      <c r="D127" s="15">
        <f>IF(Data!D127="Mauritius", 1, 0)</f>
        <v>0</v>
      </c>
      <c r="E127" s="15">
        <f>IF(Regression!A127&gt;201500, 1, 0)</f>
        <v>1</v>
      </c>
      <c r="F127" s="15">
        <f t="shared" si="5"/>
        <v>0</v>
      </c>
      <c r="G127" s="11">
        <f>Data!J127</f>
        <v>6.3416591142708762E-5</v>
      </c>
      <c r="H127" s="11">
        <f t="shared" si="6"/>
        <v>0</v>
      </c>
      <c r="I127" s="10">
        <f>Data!H127</f>
        <v>1.0506155950752394</v>
      </c>
      <c r="J127" s="10">
        <f>Data!I127</f>
        <v>1.5568991746582632</v>
      </c>
      <c r="K127" s="10">
        <f t="shared" si="4"/>
        <v>1.5568670678794945</v>
      </c>
      <c r="L127" s="17">
        <f>Data!N127</f>
        <v>-0.16820033215530758</v>
      </c>
      <c r="M127" s="15">
        <f>Data!L127</f>
        <v>843.6</v>
      </c>
      <c r="N127" s="15">
        <f>Data!M127</f>
        <v>0.35085734724998474</v>
      </c>
      <c r="O127" s="15">
        <f>Data!O127</f>
        <v>142.25848388671875</v>
      </c>
      <c r="P127" s="17">
        <f>Data!P127</f>
        <v>0.98970000000000002</v>
      </c>
      <c r="Q127" s="17">
        <f>Data!R127</f>
        <v>-0.62</v>
      </c>
      <c r="R127" s="15">
        <f>Data!Q127</f>
        <v>-0.68</v>
      </c>
      <c r="S127" s="15">
        <f t="shared" si="7"/>
        <v>0</v>
      </c>
    </row>
    <row r="128" spans="1:19" x14ac:dyDescent="0.25">
      <c r="A128" s="15">
        <f>Data!A128</f>
        <v>202204</v>
      </c>
      <c r="B128" s="15">
        <v>80450</v>
      </c>
      <c r="C128" s="15">
        <f>Data!F128</f>
        <v>2542</v>
      </c>
      <c r="D128" s="15">
        <f>IF(Data!D128="Mauritius", 1, 0)</f>
        <v>0</v>
      </c>
      <c r="E128" s="15">
        <f>IF(Regression!A128&gt;201500, 1, 0)</f>
        <v>1</v>
      </c>
      <c r="F128" s="15">
        <f t="shared" si="5"/>
        <v>0</v>
      </c>
      <c r="G128" s="11">
        <f>Data!J128</f>
        <v>1.1764100989670037E-4</v>
      </c>
      <c r="H128" s="11">
        <f t="shared" si="6"/>
        <v>0</v>
      </c>
      <c r="I128" s="10">
        <f>Data!H128</f>
        <v>1.5322483423749247</v>
      </c>
      <c r="J128" s="10">
        <f>Data!I128</f>
        <v>1.5624134623122834</v>
      </c>
      <c r="K128" s="10">
        <f t="shared" si="4"/>
        <v>1.5624099136571101</v>
      </c>
      <c r="L128" s="17">
        <f>Data!N128</f>
        <v>0.54961915037855258</v>
      </c>
      <c r="M128" s="15">
        <f>Data!L128</f>
        <v>843.6</v>
      </c>
      <c r="N128" s="15">
        <f>Data!M128</f>
        <v>0.41409075260162354</v>
      </c>
      <c r="O128" s="15">
        <f>Data!O128</f>
        <v>191.14309692382813</v>
      </c>
      <c r="P128" s="17">
        <f>Data!P128</f>
        <v>0.18779999999999999</v>
      </c>
      <c r="Q128" s="17">
        <f>Data!R128</f>
        <v>-0.62</v>
      </c>
      <c r="R128" s="15">
        <f>Data!Q128</f>
        <v>-0.68</v>
      </c>
      <c r="S128" s="15">
        <f t="shared" si="7"/>
        <v>0</v>
      </c>
    </row>
    <row r="129" spans="1:19" x14ac:dyDescent="0.25">
      <c r="A129" s="15">
        <f>Data!A129</f>
        <v>202203</v>
      </c>
      <c r="B129" s="15">
        <v>80450</v>
      </c>
      <c r="C129" s="15">
        <f>Data!F129</f>
        <v>11195</v>
      </c>
      <c r="D129" s="15">
        <f>IF(Data!D129="Mauritius", 1, 0)</f>
        <v>0</v>
      </c>
      <c r="E129" s="15">
        <f>IF(Regression!A129&gt;201500, 1, 0)</f>
        <v>1</v>
      </c>
      <c r="F129" s="15">
        <f t="shared" si="5"/>
        <v>0</v>
      </c>
      <c r="G129" s="11">
        <f>Data!J129</f>
        <v>7.4173354691549158E-4</v>
      </c>
      <c r="H129" s="11">
        <f t="shared" si="6"/>
        <v>0</v>
      </c>
      <c r="I129" s="10">
        <f>Data!H129</f>
        <v>1.9189235515941034</v>
      </c>
      <c r="J129" s="10">
        <f>Data!I129</f>
        <v>1.2101782318320773</v>
      </c>
      <c r="K129" s="10">
        <f t="shared" si="4"/>
        <v>1.2107039320119641</v>
      </c>
      <c r="L129" s="17">
        <f>Data!N129</f>
        <v>0.89172027525005226</v>
      </c>
      <c r="M129" s="15">
        <f>Data!L129</f>
        <v>843.6</v>
      </c>
      <c r="N129" s="15">
        <f>Data!M129</f>
        <v>0.46701973676681519</v>
      </c>
      <c r="O129" s="15">
        <f>Data!O129</f>
        <v>318.95492553710938</v>
      </c>
      <c r="P129" s="17">
        <f>Data!P129</f>
        <v>0.31509999999999999</v>
      </c>
      <c r="Q129" s="17">
        <f>Data!R129</f>
        <v>-0.62</v>
      </c>
      <c r="R129" s="15">
        <f>Data!Q129</f>
        <v>-0.68</v>
      </c>
      <c r="S129" s="15">
        <f t="shared" si="7"/>
        <v>0</v>
      </c>
    </row>
    <row r="130" spans="1:19" x14ac:dyDescent="0.25">
      <c r="A130" s="15">
        <f>Data!A130</f>
        <v>202202</v>
      </c>
      <c r="B130" s="15">
        <v>80450</v>
      </c>
      <c r="C130" s="15">
        <f>Data!F130</f>
        <v>6093</v>
      </c>
      <c r="D130" s="15">
        <f>IF(Data!D130="Mauritius", 1, 0)</f>
        <v>0</v>
      </c>
      <c r="E130" s="15">
        <f>IF(Regression!A130&gt;201500, 1, 0)</f>
        <v>1</v>
      </c>
      <c r="F130" s="15">
        <f t="shared" si="5"/>
        <v>0</v>
      </c>
      <c r="G130" s="11">
        <f>Data!J130</f>
        <v>5.833405855981223E-4</v>
      </c>
      <c r="H130" s="11">
        <f t="shared" si="6"/>
        <v>0</v>
      </c>
      <c r="I130" s="10">
        <f>Data!H130</f>
        <v>1.792586054721977</v>
      </c>
      <c r="J130" s="10">
        <f>Data!I130</f>
        <v>0.95187145258592487</v>
      </c>
      <c r="K130" s="10">
        <f t="shared" ref="K130:K193" si="8">(I130*G130)+(J130*(1-G130))</f>
        <v>0.95236187553425566</v>
      </c>
      <c r="L130" s="17">
        <f>Data!N130</f>
        <v>-6.4453697069783697E-2</v>
      </c>
      <c r="M130" s="15">
        <f>Data!L130</f>
        <v>843.6</v>
      </c>
      <c r="N130" s="15">
        <f>Data!M130</f>
        <v>0.17114667594432831</v>
      </c>
      <c r="O130" s="15">
        <f>Data!O130</f>
        <v>216.15901184082031</v>
      </c>
      <c r="P130" s="17">
        <f>Data!P130</f>
        <v>0.14849999999999999</v>
      </c>
      <c r="Q130" s="17">
        <f>Data!R130</f>
        <v>-0.62</v>
      </c>
      <c r="R130" s="15">
        <f>Data!Q130</f>
        <v>-0.68</v>
      </c>
      <c r="S130" s="15">
        <f t="shared" si="7"/>
        <v>0</v>
      </c>
    </row>
    <row r="131" spans="1:19" x14ac:dyDescent="0.25">
      <c r="A131" s="15">
        <f>Data!A131</f>
        <v>202201</v>
      </c>
      <c r="B131" s="15">
        <v>80450</v>
      </c>
      <c r="C131" s="15">
        <f>Data!F131</f>
        <v>8471</v>
      </c>
      <c r="D131" s="15">
        <f>IF(Data!D131="Mauritius", 1, 0)</f>
        <v>0</v>
      </c>
      <c r="E131" s="15">
        <f>IF(Regression!A131&gt;201500, 1, 0)</f>
        <v>1</v>
      </c>
      <c r="F131" s="15">
        <f t="shared" ref="F131:F194" si="9">D131*E131</f>
        <v>0</v>
      </c>
      <c r="G131" s="11">
        <f>Data!J131</f>
        <v>7.5866934895225534E-4</v>
      </c>
      <c r="H131" s="11">
        <f t="shared" ref="H131:H194" si="10">F131*G131</f>
        <v>0</v>
      </c>
      <c r="I131" s="10">
        <f>Data!H131</f>
        <v>1.7415707236842106</v>
      </c>
      <c r="J131" s="10">
        <f>Data!I131</f>
        <v>0.96046016335286355</v>
      </c>
      <c r="K131" s="10">
        <f t="shared" si="8"/>
        <v>0.96105276799312978</v>
      </c>
      <c r="L131" s="17">
        <f>Data!N131</f>
        <v>0.22757193402674236</v>
      </c>
      <c r="M131" s="15">
        <f>Data!L131</f>
        <v>843.6</v>
      </c>
      <c r="N131" s="15">
        <f>Data!M131</f>
        <v>0.21815009415149689</v>
      </c>
      <c r="O131" s="15">
        <f>Data!O131</f>
        <v>138.67498779296875</v>
      </c>
      <c r="P131" s="17">
        <f>Data!P131</f>
        <v>0.1095</v>
      </c>
      <c r="Q131" s="17">
        <f>Data!R131</f>
        <v>-0.62</v>
      </c>
      <c r="R131" s="15">
        <f>Data!Q131</f>
        <v>-0.68</v>
      </c>
      <c r="S131" s="15">
        <f t="shared" ref="S131:S194" si="11">P131*F131</f>
        <v>0</v>
      </c>
    </row>
    <row r="132" spans="1:19" x14ac:dyDescent="0.25">
      <c r="A132" s="15">
        <f>Data!A132</f>
        <v>202112</v>
      </c>
      <c r="B132" s="15">
        <v>80450</v>
      </c>
      <c r="C132" s="15">
        <f>Data!F132</f>
        <v>869</v>
      </c>
      <c r="D132" s="15">
        <f>IF(Data!D132="Mauritius", 1, 0)</f>
        <v>0</v>
      </c>
      <c r="E132" s="15">
        <f>IF(Regression!A132&gt;201500, 1, 0)</f>
        <v>1</v>
      </c>
      <c r="F132" s="15">
        <f t="shared" si="9"/>
        <v>0</v>
      </c>
      <c r="G132" s="11">
        <f>Data!J132</f>
        <v>5.8448808965953131E-5</v>
      </c>
      <c r="H132" s="11">
        <f t="shared" si="10"/>
        <v>0</v>
      </c>
      <c r="I132" s="10">
        <f>Data!H132</f>
        <v>1.8850325379609545</v>
      </c>
      <c r="J132" s="10">
        <f>Data!I132</f>
        <v>0.94837893769415815</v>
      </c>
      <c r="K132" s="10">
        <f t="shared" si="8"/>
        <v>0.9484336839815074</v>
      </c>
      <c r="L132" s="17">
        <f>Data!N132</f>
        <v>2.6057598636455716E-2</v>
      </c>
      <c r="M132" s="15">
        <f>Data!L132</f>
        <v>854.4</v>
      </c>
      <c r="N132" s="15">
        <f>Data!M132</f>
        <v>0.14811158180236816</v>
      </c>
      <c r="O132" s="15">
        <f>Data!O132</f>
        <v>105.34542083740234</v>
      </c>
      <c r="P132" s="17">
        <f>Data!P132</f>
        <v>2.8E-3</v>
      </c>
      <c r="Q132" s="17">
        <f>Data!R132</f>
        <v>-0.69</v>
      </c>
      <c r="R132" s="15">
        <f>Data!Q132</f>
        <v>-0.75</v>
      </c>
      <c r="S132" s="15">
        <f t="shared" si="11"/>
        <v>0</v>
      </c>
    </row>
    <row r="133" spans="1:19" x14ac:dyDescent="0.25">
      <c r="A133" s="15">
        <f>Data!A133</f>
        <v>202111</v>
      </c>
      <c r="B133" s="15">
        <v>80450</v>
      </c>
      <c r="C133" s="15">
        <f>Data!F133</f>
        <v>5521</v>
      </c>
      <c r="D133" s="15">
        <f>IF(Data!D133="Mauritius", 1, 0)</f>
        <v>0</v>
      </c>
      <c r="E133" s="15">
        <f>IF(Regression!A133&gt;201500, 1, 0)</f>
        <v>1</v>
      </c>
      <c r="F133" s="15">
        <f t="shared" si="9"/>
        <v>0</v>
      </c>
      <c r="G133" s="11">
        <f>Data!J133</f>
        <v>4.7990104702917263E-4</v>
      </c>
      <c r="H133" s="11">
        <f t="shared" si="10"/>
        <v>0</v>
      </c>
      <c r="I133" s="10">
        <f>Data!H133</f>
        <v>1.8042483660130719</v>
      </c>
      <c r="J133" s="10">
        <f>Data!I133</f>
        <v>0.96766418603180182</v>
      </c>
      <c r="K133" s="10">
        <f t="shared" si="8"/>
        <v>0.96806566365570279</v>
      </c>
      <c r="L133" s="17">
        <f>Data!N133</f>
        <v>0.74529382270437816</v>
      </c>
      <c r="M133" s="15">
        <f>Data!L133</f>
        <v>854.4</v>
      </c>
      <c r="N133" s="15">
        <f>Data!M133</f>
        <v>0.15636105835437775</v>
      </c>
      <c r="O133" s="15">
        <f>Data!O133</f>
        <v>86.569145202636719</v>
      </c>
      <c r="P133" s="17">
        <f>Data!P133</f>
        <v>7.0000000000000001E-3</v>
      </c>
      <c r="Q133" s="17">
        <f>Data!R133</f>
        <v>-0.69</v>
      </c>
      <c r="R133" s="15">
        <f>Data!Q133</f>
        <v>-0.75</v>
      </c>
      <c r="S133" s="15">
        <f t="shared" si="11"/>
        <v>0</v>
      </c>
    </row>
    <row r="134" spans="1:19" x14ac:dyDescent="0.25">
      <c r="A134" s="15">
        <f>Data!A134</f>
        <v>202110</v>
      </c>
      <c r="B134" s="15">
        <v>80450</v>
      </c>
      <c r="C134" s="15">
        <f>Data!F134</f>
        <v>1658</v>
      </c>
      <c r="D134" s="15">
        <f>IF(Data!D134="Mauritius", 1, 0)</f>
        <v>0</v>
      </c>
      <c r="E134" s="15">
        <f>IF(Regression!A134&gt;201500, 1, 0)</f>
        <v>1</v>
      </c>
      <c r="F134" s="15">
        <f t="shared" si="9"/>
        <v>0</v>
      </c>
      <c r="G134" s="11">
        <f>Data!J134</f>
        <v>9.6250670648897875E-5</v>
      </c>
      <c r="H134" s="11">
        <f t="shared" si="10"/>
        <v>0</v>
      </c>
      <c r="I134" s="10">
        <f>Data!H134</f>
        <v>1.9324009324009324</v>
      </c>
      <c r="J134" s="10">
        <f>Data!I134</f>
        <v>1.9306173331813572</v>
      </c>
      <c r="K134" s="10">
        <f t="shared" si="8"/>
        <v>1.9306175048539782</v>
      </c>
      <c r="L134" s="17">
        <f>Data!N134</f>
        <v>-0.41594687126444535</v>
      </c>
      <c r="M134" s="15">
        <f>Data!L134</f>
        <v>854.4</v>
      </c>
      <c r="N134" s="15">
        <f>Data!M134</f>
        <v>0.25541067123413086</v>
      </c>
      <c r="O134" s="15">
        <f>Data!O134</f>
        <v>79.02923583984375</v>
      </c>
      <c r="P134" s="17">
        <f>Data!P134</f>
        <v>0.99939999999999996</v>
      </c>
      <c r="Q134" s="17">
        <f>Data!R134</f>
        <v>-0.69</v>
      </c>
      <c r="R134" s="15">
        <f>Data!Q134</f>
        <v>-0.75</v>
      </c>
      <c r="S134" s="15">
        <f t="shared" si="11"/>
        <v>0</v>
      </c>
    </row>
    <row r="135" spans="1:19" x14ac:dyDescent="0.25">
      <c r="A135" s="15">
        <f>Data!A135</f>
        <v>202109</v>
      </c>
      <c r="B135" s="15">
        <v>80450</v>
      </c>
      <c r="C135" s="15">
        <f>Data!F135</f>
        <v>227390</v>
      </c>
      <c r="D135" s="15">
        <f>IF(Data!D135="Mauritius", 1, 0)</f>
        <v>0</v>
      </c>
      <c r="E135" s="15">
        <f>IF(Regression!A135&gt;201500, 1, 0)</f>
        <v>1</v>
      </c>
      <c r="F135" s="15">
        <f t="shared" si="9"/>
        <v>0</v>
      </c>
      <c r="G135" s="11">
        <f>Data!J135</f>
        <v>1.4678997394589319E-2</v>
      </c>
      <c r="H135" s="11">
        <f t="shared" si="10"/>
        <v>0</v>
      </c>
      <c r="I135" s="10">
        <f>Data!H135</f>
        <v>0.76533943657231329</v>
      </c>
      <c r="J135" s="10">
        <f>Data!I135</f>
        <v>0.96168832769233448</v>
      </c>
      <c r="K135" s="10">
        <f t="shared" si="8"/>
        <v>0.95880612283115318</v>
      </c>
      <c r="L135" s="17">
        <f>Data!N135</f>
        <v>-0.92068358738320055</v>
      </c>
      <c r="M135" s="15">
        <f>Data!L135</f>
        <v>854.4</v>
      </c>
      <c r="N135" s="15">
        <f>Data!M135</f>
        <v>0.43071159720420837</v>
      </c>
      <c r="O135" s="15">
        <f>Data!O135</f>
        <v>80.696968078613281</v>
      </c>
      <c r="P135" s="17">
        <f>Data!P135</f>
        <v>0.85440000000000005</v>
      </c>
      <c r="Q135" s="17">
        <f>Data!R135</f>
        <v>-0.69</v>
      </c>
      <c r="R135" s="15">
        <f>Data!Q135</f>
        <v>-0.75</v>
      </c>
      <c r="S135" s="15">
        <f t="shared" si="11"/>
        <v>0</v>
      </c>
    </row>
    <row r="136" spans="1:19" x14ac:dyDescent="0.25">
      <c r="A136" s="15">
        <f>Data!A136</f>
        <v>202108</v>
      </c>
      <c r="B136" s="15">
        <v>80450</v>
      </c>
      <c r="C136" s="15">
        <f>Data!F136</f>
        <v>1098</v>
      </c>
      <c r="D136" s="15">
        <f>IF(Data!D136="Mauritius", 1, 0)</f>
        <v>0</v>
      </c>
      <c r="E136" s="15">
        <f>IF(Regression!A136&gt;201500, 1, 0)</f>
        <v>1</v>
      </c>
      <c r="F136" s="15">
        <f t="shared" si="9"/>
        <v>0</v>
      </c>
      <c r="G136" s="11">
        <f>Data!J136</f>
        <v>6.2359191327369912E-5</v>
      </c>
      <c r="H136" s="11">
        <f t="shared" si="10"/>
        <v>0</v>
      </c>
      <c r="I136" s="10">
        <f>Data!H136</f>
        <v>1.7970540098199672</v>
      </c>
      <c r="J136" s="10">
        <f>Data!I136</f>
        <v>1.0367885495127362</v>
      </c>
      <c r="K136" s="10">
        <f t="shared" si="8"/>
        <v>1.0368359590520351</v>
      </c>
      <c r="L136" s="17">
        <f>Data!N136</f>
        <v>-0.68146504716481693</v>
      </c>
      <c r="M136" s="15">
        <f>Data!L136</f>
        <v>854.4</v>
      </c>
      <c r="N136" s="15">
        <f>Data!M136</f>
        <v>0.14482259750366211</v>
      </c>
      <c r="O136" s="15">
        <f>Data!O136</f>
        <v>89.486549377441406</v>
      </c>
      <c r="P136" s="17">
        <f>Data!P136</f>
        <v>2.8000000000000001E-2</v>
      </c>
      <c r="Q136" s="17">
        <f>Data!R136</f>
        <v>-0.69</v>
      </c>
      <c r="R136" s="15">
        <f>Data!Q136</f>
        <v>-0.75</v>
      </c>
      <c r="S136" s="15">
        <f t="shared" si="11"/>
        <v>0</v>
      </c>
    </row>
    <row r="137" spans="1:19" x14ac:dyDescent="0.25">
      <c r="A137" s="15">
        <f>Data!A137</f>
        <v>202107</v>
      </c>
      <c r="B137" s="15">
        <v>80450</v>
      </c>
      <c r="C137" s="15">
        <f>Data!F137</f>
        <v>1768</v>
      </c>
      <c r="D137" s="15">
        <f>IF(Data!D137="Mauritius", 1, 0)</f>
        <v>0</v>
      </c>
      <c r="E137" s="15">
        <f>IF(Regression!A137&gt;201500, 1, 0)</f>
        <v>1</v>
      </c>
      <c r="F137" s="15">
        <f t="shared" si="9"/>
        <v>0</v>
      </c>
      <c r="G137" s="11">
        <f>Data!J137</f>
        <v>9.6604082374869294E-5</v>
      </c>
      <c r="H137" s="11">
        <f t="shared" si="10"/>
        <v>0</v>
      </c>
      <c r="I137" s="10">
        <f>Data!H137</f>
        <v>1.7115198451113263</v>
      </c>
      <c r="J137" s="10">
        <f>Data!I137</f>
        <v>0.8751198528771863</v>
      </c>
      <c r="K137" s="10">
        <f t="shared" si="8"/>
        <v>0.87520065253093449</v>
      </c>
      <c r="L137" s="17">
        <f>Data!N137</f>
        <v>-0.52053427229230809</v>
      </c>
      <c r="M137" s="15">
        <f>Data!L137</f>
        <v>854.4</v>
      </c>
      <c r="N137" s="15">
        <f>Data!M137</f>
        <v>0.17029666900634766</v>
      </c>
      <c r="O137" s="15">
        <f>Data!O137</f>
        <v>58.420768737792969</v>
      </c>
      <c r="P137" s="17">
        <f>Data!P137</f>
        <v>0.87680000000000002</v>
      </c>
      <c r="Q137" s="17">
        <f>Data!R137</f>
        <v>-0.69</v>
      </c>
      <c r="R137" s="15">
        <f>Data!Q137</f>
        <v>-0.75</v>
      </c>
      <c r="S137" s="15">
        <f t="shared" si="11"/>
        <v>0</v>
      </c>
    </row>
    <row r="138" spans="1:19" x14ac:dyDescent="0.25">
      <c r="A138" s="15">
        <f>Data!A138</f>
        <v>202106</v>
      </c>
      <c r="B138" s="15">
        <v>80450</v>
      </c>
      <c r="C138" s="15">
        <f>Data!F138</f>
        <v>2046</v>
      </c>
      <c r="D138" s="15">
        <f>IF(Data!D138="Mauritius", 1, 0)</f>
        <v>0</v>
      </c>
      <c r="E138" s="15">
        <f>IF(Regression!A138&gt;201500, 1, 0)</f>
        <v>1</v>
      </c>
      <c r="F138" s="15">
        <f t="shared" si="9"/>
        <v>0</v>
      </c>
      <c r="G138" s="11">
        <f>Data!J138</f>
        <v>1.2071666759692056E-4</v>
      </c>
      <c r="H138" s="11">
        <f t="shared" si="10"/>
        <v>0</v>
      </c>
      <c r="I138" s="10">
        <f>Data!H138</f>
        <v>1.9121495327102804</v>
      </c>
      <c r="J138" s="10">
        <f>Data!I138</f>
        <v>1.1163096764879143</v>
      </c>
      <c r="K138" s="10">
        <f t="shared" si="8"/>
        <v>1.1164057476232983</v>
      </c>
      <c r="L138" s="17">
        <f>Data!N138</f>
        <v>-0.27368029079500827</v>
      </c>
      <c r="M138" s="15">
        <f>Data!L138</f>
        <v>854.4</v>
      </c>
      <c r="N138" s="15">
        <f>Data!M138</f>
        <v>0.18566654622554779</v>
      </c>
      <c r="O138" s="15">
        <f>Data!O138</f>
        <v>74.127120971679688</v>
      </c>
      <c r="P138" s="17">
        <f>Data!P138</f>
        <v>4.6699999999999998E-2</v>
      </c>
      <c r="Q138" s="17">
        <f>Data!R138</f>
        <v>-0.69</v>
      </c>
      <c r="R138" s="15">
        <f>Data!Q138</f>
        <v>-0.75</v>
      </c>
      <c r="S138" s="15">
        <f t="shared" si="11"/>
        <v>0</v>
      </c>
    </row>
    <row r="139" spans="1:19" x14ac:dyDescent="0.25">
      <c r="A139" s="15">
        <f>Data!A139</f>
        <v>202104</v>
      </c>
      <c r="B139" s="15">
        <v>80450</v>
      </c>
      <c r="C139" s="15">
        <f>Data!F139</f>
        <v>1929</v>
      </c>
      <c r="D139" s="15">
        <f>IF(Data!D139="Mauritius", 1, 0)</f>
        <v>0</v>
      </c>
      <c r="E139" s="15">
        <f>IF(Regression!A139&gt;201500, 1, 0)</f>
        <v>1</v>
      </c>
      <c r="F139" s="15">
        <f t="shared" si="9"/>
        <v>0</v>
      </c>
      <c r="G139" s="11">
        <f>Data!J139</f>
        <v>9.8835432702446625E-5</v>
      </c>
      <c r="H139" s="11">
        <f t="shared" si="10"/>
        <v>0</v>
      </c>
      <c r="I139" s="10">
        <f>Data!H139</f>
        <v>1.6459044368600682</v>
      </c>
      <c r="J139" s="10">
        <f>Data!I139</f>
        <v>1.4925235758913598</v>
      </c>
      <c r="K139" s="10">
        <f t="shared" si="8"/>
        <v>1.492538735355122</v>
      </c>
      <c r="L139" s="17">
        <f>Data!N139</f>
        <v>0.38231151531836655</v>
      </c>
      <c r="M139" s="15">
        <f>Data!L139</f>
        <v>854.4</v>
      </c>
      <c r="N139" s="15">
        <f>Data!M139</f>
        <v>0.18157270550727844</v>
      </c>
      <c r="O139" s="15">
        <f>Data!O139</f>
        <v>88.166221618652344</v>
      </c>
      <c r="P139" s="17">
        <f>Data!P139</f>
        <v>3.04E-2</v>
      </c>
      <c r="Q139" s="17">
        <f>Data!R139</f>
        <v>-0.69</v>
      </c>
      <c r="R139" s="15">
        <f>Data!Q139</f>
        <v>-0.75</v>
      </c>
      <c r="S139" s="15">
        <f t="shared" si="11"/>
        <v>0</v>
      </c>
    </row>
    <row r="140" spans="1:19" x14ac:dyDescent="0.25">
      <c r="A140" s="15">
        <f>Data!A140</f>
        <v>202103</v>
      </c>
      <c r="B140" s="15">
        <v>80450</v>
      </c>
      <c r="C140" s="15">
        <f>Data!F140</f>
        <v>1771</v>
      </c>
      <c r="D140" s="15">
        <f>IF(Data!D140="Mauritius", 1, 0)</f>
        <v>0</v>
      </c>
      <c r="E140" s="15">
        <f>IF(Regression!A140&gt;201500, 1, 0)</f>
        <v>1</v>
      </c>
      <c r="F140" s="15">
        <f t="shared" si="9"/>
        <v>0</v>
      </c>
      <c r="G140" s="11">
        <f>Data!J140</f>
        <v>1.0684742362867726E-4</v>
      </c>
      <c r="H140" s="11">
        <f t="shared" si="10"/>
        <v>0</v>
      </c>
      <c r="I140" s="10">
        <f>Data!H140</f>
        <v>1.7045235803657364</v>
      </c>
      <c r="J140" s="10">
        <f>Data!I140</f>
        <v>1.4520130681760444</v>
      </c>
      <c r="K140" s="10">
        <f t="shared" si="8"/>
        <v>1.452040048273711</v>
      </c>
      <c r="L140" s="17">
        <f>Data!N140</f>
        <v>0.88651307986723882</v>
      </c>
      <c r="M140" s="15">
        <f>Data!L140</f>
        <v>854.4</v>
      </c>
      <c r="N140" s="15">
        <f>Data!M140</f>
        <v>0.31441047787666321</v>
      </c>
      <c r="O140" s="15">
        <f>Data!O140</f>
        <v>78.618766784667969</v>
      </c>
      <c r="P140" s="17">
        <f>Data!P140</f>
        <v>0.1</v>
      </c>
      <c r="Q140" s="17">
        <f>Data!R140</f>
        <v>-0.69</v>
      </c>
      <c r="R140" s="15">
        <f>Data!Q140</f>
        <v>-0.75</v>
      </c>
      <c r="S140" s="15">
        <f t="shared" si="11"/>
        <v>0</v>
      </c>
    </row>
    <row r="141" spans="1:19" x14ac:dyDescent="0.25">
      <c r="A141" s="15">
        <f>Data!A141</f>
        <v>202102</v>
      </c>
      <c r="B141" s="15">
        <v>80450</v>
      </c>
      <c r="C141" s="15">
        <f>Data!F141</f>
        <v>3704</v>
      </c>
      <c r="D141" s="15">
        <f>IF(Data!D141="Mauritius", 1, 0)</f>
        <v>0</v>
      </c>
      <c r="E141" s="15">
        <f>IF(Regression!A141&gt;201500, 1, 0)</f>
        <v>1</v>
      </c>
      <c r="F141" s="15">
        <f t="shared" si="9"/>
        <v>0</v>
      </c>
      <c r="G141" s="11">
        <f>Data!J141</f>
        <v>4.8491786310941534E-4</v>
      </c>
      <c r="H141" s="11">
        <f t="shared" si="10"/>
        <v>0</v>
      </c>
      <c r="I141" s="10">
        <f>Data!H141</f>
        <v>1.6104347826086955</v>
      </c>
      <c r="J141" s="10">
        <f>Data!I141</f>
        <v>1.0038664805183659</v>
      </c>
      <c r="K141" s="10">
        <f t="shared" si="8"/>
        <v>1.0041606163232455</v>
      </c>
      <c r="L141" s="17">
        <f>Data!N141</f>
        <v>-0.45486783214647997</v>
      </c>
      <c r="M141" s="15">
        <f>Data!L141</f>
        <v>854.4</v>
      </c>
      <c r="N141" s="15">
        <f>Data!M141</f>
        <v>0.14015078544616699</v>
      </c>
      <c r="O141" s="15">
        <f>Data!O141</f>
        <v>73.956802368164063</v>
      </c>
      <c r="P141" s="17">
        <f>Data!P141</f>
        <v>0.30009999999999998</v>
      </c>
      <c r="Q141" s="17">
        <f>Data!R141</f>
        <v>-0.69</v>
      </c>
      <c r="R141" s="15">
        <f>Data!Q141</f>
        <v>-0.75</v>
      </c>
      <c r="S141" s="15">
        <f t="shared" si="11"/>
        <v>0</v>
      </c>
    </row>
    <row r="142" spans="1:19" x14ac:dyDescent="0.25">
      <c r="A142" s="15">
        <f>Data!A142</f>
        <v>202101</v>
      </c>
      <c r="B142" s="15">
        <v>80450</v>
      </c>
      <c r="C142" s="15">
        <f>Data!F142</f>
        <v>2041</v>
      </c>
      <c r="D142" s="15">
        <f>IF(Data!D142="Mauritius", 1, 0)</f>
        <v>0</v>
      </c>
      <c r="E142" s="15">
        <f>IF(Regression!A142&gt;201500, 1, 0)</f>
        <v>1</v>
      </c>
      <c r="F142" s="15">
        <f t="shared" si="9"/>
        <v>0</v>
      </c>
      <c r="G142" s="11">
        <f>Data!J142</f>
        <v>2.6674082959142519E-4</v>
      </c>
      <c r="H142" s="11">
        <f t="shared" si="10"/>
        <v>0</v>
      </c>
      <c r="I142" s="10">
        <f>Data!H142</f>
        <v>1.3799864773495605</v>
      </c>
      <c r="J142" s="10">
        <f>Data!I142</f>
        <v>0.98277073608052645</v>
      </c>
      <c r="K142" s="10">
        <f t="shared" si="8"/>
        <v>0.98287668973687936</v>
      </c>
      <c r="L142" s="17">
        <f>Data!N142</f>
        <v>-0.22142110355327252</v>
      </c>
      <c r="M142" s="15">
        <f>Data!L142</f>
        <v>854.4</v>
      </c>
      <c r="N142" s="15">
        <f>Data!M142</f>
        <v>0.12384448945522308</v>
      </c>
      <c r="O142" s="15">
        <f>Data!O142</f>
        <v>77.418701171875</v>
      </c>
      <c r="P142" s="17">
        <f>Data!P142</f>
        <v>1.9400000000000001E-2</v>
      </c>
      <c r="Q142" s="17">
        <f>Data!R142</f>
        <v>-0.69</v>
      </c>
      <c r="R142" s="15">
        <f>Data!Q142</f>
        <v>-0.75</v>
      </c>
      <c r="S142" s="15">
        <f t="shared" si="11"/>
        <v>0</v>
      </c>
    </row>
    <row r="143" spans="1:19" x14ac:dyDescent="0.25">
      <c r="A143" s="15">
        <f>Data!A143</f>
        <v>202012</v>
      </c>
      <c r="B143" s="15">
        <v>80450</v>
      </c>
      <c r="C143" s="15">
        <f>Data!F143</f>
        <v>6079</v>
      </c>
      <c r="D143" s="15">
        <f>IF(Data!D143="Mauritius", 1, 0)</f>
        <v>0</v>
      </c>
      <c r="E143" s="15">
        <f>IF(Regression!A143&gt;201500, 1, 0)</f>
        <v>1</v>
      </c>
      <c r="F143" s="15">
        <f t="shared" si="9"/>
        <v>0</v>
      </c>
      <c r="G143" s="11">
        <f>Data!J143</f>
        <v>6.0369622172960801E-4</v>
      </c>
      <c r="H143" s="11">
        <f t="shared" si="10"/>
        <v>0</v>
      </c>
      <c r="I143" s="10">
        <f>Data!H143</f>
        <v>1.777485380116959</v>
      </c>
      <c r="J143" s="10">
        <f>Data!I143</f>
        <v>0.94248798541533407</v>
      </c>
      <c r="K143" s="10">
        <f t="shared" si="8"/>
        <v>0.94299207018766951</v>
      </c>
      <c r="L143" s="17">
        <f>Data!N143</f>
        <v>-0.3653615559629908</v>
      </c>
      <c r="M143" s="15">
        <f>Data!L143</f>
        <v>700.4</v>
      </c>
      <c r="N143" s="15">
        <f>Data!M143</f>
        <v>0.11803588271141052</v>
      </c>
      <c r="O143" s="15">
        <f>Data!O143</f>
        <v>64.067291259765625</v>
      </c>
      <c r="P143" s="17">
        <f>Data!P143</f>
        <v>1.8499999999999999E-2</v>
      </c>
      <c r="Q143" s="17">
        <f>Data!R143</f>
        <v>-0.84</v>
      </c>
      <c r="R143" s="15">
        <f>Data!Q143</f>
        <v>-0.25</v>
      </c>
      <c r="S143" s="15">
        <f t="shared" si="11"/>
        <v>0</v>
      </c>
    </row>
    <row r="144" spans="1:19" x14ac:dyDescent="0.25">
      <c r="A144" s="15">
        <f>Data!A144</f>
        <v>202011</v>
      </c>
      <c r="B144" s="15">
        <v>80450</v>
      </c>
      <c r="C144" s="15">
        <f>Data!F144</f>
        <v>1308</v>
      </c>
      <c r="D144" s="15">
        <f>IF(Data!D144="Mauritius", 1, 0)</f>
        <v>0</v>
      </c>
      <c r="E144" s="15">
        <f>IF(Regression!A144&gt;201500, 1, 0)</f>
        <v>1</v>
      </c>
      <c r="F144" s="15">
        <f t="shared" si="9"/>
        <v>0</v>
      </c>
      <c r="G144" s="11">
        <f>Data!J144</f>
        <v>1.6653953384973322E-4</v>
      </c>
      <c r="H144" s="11">
        <f t="shared" si="10"/>
        <v>0</v>
      </c>
      <c r="I144" s="10">
        <f>Data!H144</f>
        <v>1.7098039215686274</v>
      </c>
      <c r="J144" s="10">
        <f>Data!I144</f>
        <v>1.0863212850750157</v>
      </c>
      <c r="K144" s="10">
        <f t="shared" si="8"/>
        <v>1.0864251195826609</v>
      </c>
      <c r="L144" s="17">
        <f>Data!N144</f>
        <v>0.46445049179922843</v>
      </c>
      <c r="M144" s="15">
        <f>Data!L144</f>
        <v>700.4</v>
      </c>
      <c r="N144" s="15">
        <f>Data!M144</f>
        <v>0.18354517221450806</v>
      </c>
      <c r="O144" s="15">
        <f>Data!O144</f>
        <v>70.067466735839844</v>
      </c>
      <c r="P144" s="17">
        <f>Data!P144</f>
        <v>1.6999999999999999E-3</v>
      </c>
      <c r="Q144" s="17">
        <f>Data!R144</f>
        <v>-0.84</v>
      </c>
      <c r="R144" s="15">
        <f>Data!Q144</f>
        <v>-0.25</v>
      </c>
      <c r="S144" s="15">
        <f t="shared" si="11"/>
        <v>0</v>
      </c>
    </row>
    <row r="145" spans="1:19" x14ac:dyDescent="0.25">
      <c r="A145" s="15">
        <f>Data!A145</f>
        <v>202010</v>
      </c>
      <c r="B145" s="15">
        <v>80450</v>
      </c>
      <c r="C145" s="15">
        <f>Data!F145</f>
        <v>7003</v>
      </c>
      <c r="D145" s="15">
        <f>IF(Data!D145="Mauritius", 1, 0)</f>
        <v>0</v>
      </c>
      <c r="E145" s="15">
        <f>IF(Regression!A145&gt;201500, 1, 0)</f>
        <v>1</v>
      </c>
      <c r="F145" s="15">
        <f t="shared" si="9"/>
        <v>0</v>
      </c>
      <c r="G145" s="11">
        <f>Data!J145</f>
        <v>6.6400816873222232E-4</v>
      </c>
      <c r="H145" s="11">
        <f t="shared" si="10"/>
        <v>0</v>
      </c>
      <c r="I145" s="10">
        <f>Data!H145</f>
        <v>1.6555555555555554</v>
      </c>
      <c r="J145" s="10">
        <f>Data!I145</f>
        <v>0.97155903314254466</v>
      </c>
      <c r="K145" s="10">
        <f t="shared" si="8"/>
        <v>0.97201321242081129</v>
      </c>
      <c r="L145" s="17">
        <f>Data!N145</f>
        <v>-1.2596862973881235</v>
      </c>
      <c r="M145" s="15">
        <f>Data!L145</f>
        <v>700.4</v>
      </c>
      <c r="N145" s="15">
        <f>Data!M145</f>
        <v>0.11810857802629471</v>
      </c>
      <c r="O145" s="15">
        <f>Data!O145</f>
        <v>76.083168029785156</v>
      </c>
      <c r="P145" s="17">
        <f>Data!P145</f>
        <v>0.1973</v>
      </c>
      <c r="Q145" s="17">
        <f>Data!R145</f>
        <v>-0.84</v>
      </c>
      <c r="R145" s="15">
        <f>Data!Q145</f>
        <v>-0.25</v>
      </c>
      <c r="S145" s="15">
        <f t="shared" si="11"/>
        <v>0</v>
      </c>
    </row>
    <row r="146" spans="1:19" x14ac:dyDescent="0.25">
      <c r="A146" s="15">
        <f>Data!A146</f>
        <v>202009</v>
      </c>
      <c r="B146" s="15">
        <v>80450</v>
      </c>
      <c r="C146" s="15">
        <f>Data!F146</f>
        <v>1465</v>
      </c>
      <c r="D146" s="15">
        <f>IF(Data!D146="Mauritius", 1, 0)</f>
        <v>0</v>
      </c>
      <c r="E146" s="15">
        <f>IF(Regression!A146&gt;201500, 1, 0)</f>
        <v>1</v>
      </c>
      <c r="F146" s="15">
        <f t="shared" si="9"/>
        <v>0</v>
      </c>
      <c r="G146" s="11">
        <f>Data!J146</f>
        <v>1.1578340394672035E-4</v>
      </c>
      <c r="H146" s="11">
        <f t="shared" si="10"/>
        <v>0</v>
      </c>
      <c r="I146" s="10">
        <f>Data!H146</f>
        <v>1.3318181818181818</v>
      </c>
      <c r="J146" s="10">
        <f>Data!I146</f>
        <v>0.9807629045425218</v>
      </c>
      <c r="K146" s="10">
        <f t="shared" si="8"/>
        <v>0.98080355091749827</v>
      </c>
      <c r="L146" s="17">
        <f>Data!N146</f>
        <v>-0.62531412942313302</v>
      </c>
      <c r="M146" s="15">
        <f>Data!L146</f>
        <v>700.4</v>
      </c>
      <c r="N146" s="15">
        <f>Data!M146</f>
        <v>0.21509231626987457</v>
      </c>
      <c r="O146" s="15">
        <f>Data!O146</f>
        <v>80.37738037109375</v>
      </c>
      <c r="P146" s="17">
        <f>Data!P146</f>
        <v>1.2699999999999999E-2</v>
      </c>
      <c r="Q146" s="17">
        <f>Data!R146</f>
        <v>-0.84</v>
      </c>
      <c r="R146" s="15">
        <f>Data!Q146</f>
        <v>-0.25</v>
      </c>
      <c r="S146" s="15">
        <f t="shared" si="11"/>
        <v>0</v>
      </c>
    </row>
    <row r="147" spans="1:19" x14ac:dyDescent="0.25">
      <c r="A147" s="15">
        <f>Data!A147</f>
        <v>202008</v>
      </c>
      <c r="B147" s="15">
        <v>80450</v>
      </c>
      <c r="C147" s="15">
        <f>Data!F147</f>
        <v>3225</v>
      </c>
      <c r="D147" s="15">
        <f>IF(Data!D147="Mauritius", 1, 0)</f>
        <v>0</v>
      </c>
      <c r="E147" s="15">
        <f>IF(Regression!A147&gt;201500, 1, 0)</f>
        <v>1</v>
      </c>
      <c r="F147" s="15">
        <f t="shared" si="9"/>
        <v>0</v>
      </c>
      <c r="G147" s="11">
        <f>Data!J147</f>
        <v>2.3713484634434024E-4</v>
      </c>
      <c r="H147" s="11">
        <f t="shared" si="10"/>
        <v>0</v>
      </c>
      <c r="I147" s="10">
        <f>Data!H147</f>
        <v>0.78467153284671531</v>
      </c>
      <c r="J147" s="10">
        <f>Data!I147</f>
        <v>0.89543553520613006</v>
      </c>
      <c r="K147" s="10">
        <f t="shared" si="8"/>
        <v>0.89540926920145003</v>
      </c>
      <c r="L147" s="17">
        <f>Data!N147</f>
        <v>-0.73401896817617274</v>
      </c>
      <c r="M147" s="15">
        <f>Data!L147</f>
        <v>700.4</v>
      </c>
      <c r="N147" s="15">
        <f>Data!M147</f>
        <v>9.7956277430057526E-2</v>
      </c>
      <c r="O147" s="15">
        <f>Data!O147</f>
        <v>65.466049194335938</v>
      </c>
      <c r="P147" s="17">
        <f>Data!P147</f>
        <v>0.93859999999999999</v>
      </c>
      <c r="Q147" s="17">
        <f>Data!R147</f>
        <v>-0.84</v>
      </c>
      <c r="R147" s="15">
        <f>Data!Q147</f>
        <v>-0.25</v>
      </c>
      <c r="S147" s="15">
        <f t="shared" si="11"/>
        <v>0</v>
      </c>
    </row>
    <row r="148" spans="1:19" x14ac:dyDescent="0.25">
      <c r="A148" s="15">
        <f>Data!A148</f>
        <v>202007</v>
      </c>
      <c r="B148" s="15">
        <v>80450</v>
      </c>
      <c r="C148" s="15">
        <f>Data!F148</f>
        <v>213</v>
      </c>
      <c r="D148" s="15">
        <f>IF(Data!D148="Mauritius", 1, 0)</f>
        <v>0</v>
      </c>
      <c r="E148" s="15">
        <f>IF(Regression!A148&gt;201500, 1, 0)</f>
        <v>1</v>
      </c>
      <c r="F148" s="15">
        <f t="shared" si="9"/>
        <v>0</v>
      </c>
      <c r="G148" s="11">
        <f>Data!J148</f>
        <v>1.540491827690854E-5</v>
      </c>
      <c r="H148" s="11">
        <f t="shared" si="10"/>
        <v>0</v>
      </c>
      <c r="I148" s="10">
        <f>Data!H148</f>
        <v>1.0649999999999999</v>
      </c>
      <c r="J148" s="10">
        <f>Data!I148</f>
        <v>0.90371560744146329</v>
      </c>
      <c r="K148" s="10">
        <f t="shared" si="8"/>
        <v>0.90371809201435005</v>
      </c>
      <c r="L148" s="17">
        <f>Data!N148</f>
        <v>-0.93760005231394072</v>
      </c>
      <c r="M148" s="15">
        <f>Data!L148</f>
        <v>700.4</v>
      </c>
      <c r="N148" s="15">
        <f>Data!M148</f>
        <v>0.22953328490257263</v>
      </c>
      <c r="O148" s="15">
        <f>Data!O148</f>
        <v>66.473281860351563</v>
      </c>
      <c r="P148" s="17">
        <f>Data!P148</f>
        <v>1</v>
      </c>
      <c r="Q148" s="17">
        <f>Data!R148</f>
        <v>-0.84</v>
      </c>
      <c r="R148" s="15">
        <f>Data!Q148</f>
        <v>-0.25</v>
      </c>
      <c r="S148" s="15">
        <f t="shared" si="11"/>
        <v>0</v>
      </c>
    </row>
    <row r="149" spans="1:19" x14ac:dyDescent="0.25">
      <c r="A149" s="15">
        <f>Data!A149</f>
        <v>202006</v>
      </c>
      <c r="B149" s="15">
        <v>80450</v>
      </c>
      <c r="C149" s="15">
        <f>Data!F149</f>
        <v>4457</v>
      </c>
      <c r="D149" s="15">
        <f>IF(Data!D149="Mauritius", 1, 0)</f>
        <v>0</v>
      </c>
      <c r="E149" s="15">
        <f>IF(Regression!A149&gt;201500, 1, 0)</f>
        <v>1</v>
      </c>
      <c r="F149" s="15">
        <f t="shared" si="9"/>
        <v>0</v>
      </c>
      <c r="G149" s="11">
        <f>Data!J149</f>
        <v>3.3987714398269516E-4</v>
      </c>
      <c r="H149" s="11">
        <f t="shared" si="10"/>
        <v>0</v>
      </c>
      <c r="I149" s="10">
        <f>Data!H149</f>
        <v>1.364248546066728</v>
      </c>
      <c r="J149" s="10">
        <f>Data!I149</f>
        <v>1.3162333711333978</v>
      </c>
      <c r="K149" s="10">
        <f t="shared" si="8"/>
        <v>1.316249690393922</v>
      </c>
      <c r="L149" s="17">
        <f>Data!N149</f>
        <v>0.58244323074508442</v>
      </c>
      <c r="M149" s="15">
        <f>Data!L149</f>
        <v>700.4</v>
      </c>
      <c r="N149" s="15">
        <f>Data!M149</f>
        <v>0.32299742102622986</v>
      </c>
      <c r="O149" s="15">
        <f>Data!O149</f>
        <v>71.227859497070313</v>
      </c>
      <c r="P149" s="17">
        <f>Data!P149</f>
        <v>0.61980000000000002</v>
      </c>
      <c r="Q149" s="17">
        <f>Data!R149</f>
        <v>-0.84</v>
      </c>
      <c r="R149" s="15">
        <f>Data!Q149</f>
        <v>-0.25</v>
      </c>
      <c r="S149" s="15">
        <f t="shared" si="11"/>
        <v>0</v>
      </c>
    </row>
    <row r="150" spans="1:19" x14ac:dyDescent="0.25">
      <c r="A150" s="15">
        <f>Data!A150</f>
        <v>202003</v>
      </c>
      <c r="B150" s="15">
        <v>80450</v>
      </c>
      <c r="C150" s="15">
        <f>Data!F150</f>
        <v>835</v>
      </c>
      <c r="D150" s="15">
        <f>IF(Data!D150="Mauritius", 1, 0)</f>
        <v>0</v>
      </c>
      <c r="E150" s="15">
        <f>IF(Regression!A150&gt;201500, 1, 0)</f>
        <v>1</v>
      </c>
      <c r="F150" s="15">
        <f t="shared" si="9"/>
        <v>0</v>
      </c>
      <c r="G150" s="11">
        <f>Data!J150</f>
        <v>9.9597542433622408E-5</v>
      </c>
      <c r="H150" s="11">
        <f t="shared" si="10"/>
        <v>0</v>
      </c>
      <c r="I150" s="10">
        <f>Data!H150</f>
        <v>3.6462882096069871</v>
      </c>
      <c r="J150" s="10">
        <f>Data!I150</f>
        <v>1.1449394135718842</v>
      </c>
      <c r="K150" s="10">
        <f t="shared" si="8"/>
        <v>1.1451885417647385</v>
      </c>
      <c r="L150" s="17">
        <f>Data!N150</f>
        <v>-0.55900294827565833</v>
      </c>
      <c r="M150" s="15">
        <f>Data!L150</f>
        <v>700.4</v>
      </c>
      <c r="N150" s="15">
        <f>Data!M150</f>
        <v>0.11971951276063919</v>
      </c>
      <c r="O150" s="15">
        <f>Data!O150</f>
        <v>81.540031433105469</v>
      </c>
      <c r="P150" s="17">
        <f>Data!P150</f>
        <v>6.2899999999999998E-2</v>
      </c>
      <c r="Q150" s="17">
        <f>Data!R150</f>
        <v>-0.84</v>
      </c>
      <c r="R150" s="15">
        <f>Data!Q150</f>
        <v>-0.25</v>
      </c>
      <c r="S150" s="15">
        <f t="shared" si="11"/>
        <v>0</v>
      </c>
    </row>
    <row r="151" spans="1:19" x14ac:dyDescent="0.25">
      <c r="A151" s="15">
        <f>Data!A151</f>
        <v>202002</v>
      </c>
      <c r="B151" s="15">
        <v>80450</v>
      </c>
      <c r="C151" s="15">
        <f>Data!F151</f>
        <v>863</v>
      </c>
      <c r="D151" s="15">
        <f>IF(Data!D151="Mauritius", 1, 0)</f>
        <v>0</v>
      </c>
      <c r="E151" s="15">
        <f>IF(Regression!A151&gt;201500, 1, 0)</f>
        <v>1</v>
      </c>
      <c r="F151" s="15">
        <f t="shared" si="9"/>
        <v>0</v>
      </c>
      <c r="G151" s="11">
        <f>Data!J151</f>
        <v>1.1452754732555617E-4</v>
      </c>
      <c r="H151" s="11">
        <f t="shared" si="10"/>
        <v>0</v>
      </c>
      <c r="I151" s="10">
        <f>Data!H151</f>
        <v>1.6692456479690523</v>
      </c>
      <c r="J151" s="10">
        <f>Data!I151</f>
        <v>1.106555595596513</v>
      </c>
      <c r="K151" s="10">
        <f t="shared" si="8"/>
        <v>1.1066200391081156</v>
      </c>
      <c r="L151" s="17">
        <f>Data!N151</f>
        <v>-0.21234885690866459</v>
      </c>
      <c r="M151" s="15">
        <f>Data!L151</f>
        <v>700.4</v>
      </c>
      <c r="N151" s="15">
        <f>Data!M151</f>
        <v>0.21399910748004913</v>
      </c>
      <c r="O151" s="15">
        <f>Data!O151</f>
        <v>75.955558776855469</v>
      </c>
      <c r="P151" s="17">
        <f>Data!P151</f>
        <v>5.4699999999999999E-2</v>
      </c>
      <c r="Q151" s="17">
        <f>Data!R151</f>
        <v>-0.84</v>
      </c>
      <c r="R151" s="15">
        <f>Data!Q151</f>
        <v>-0.25</v>
      </c>
      <c r="S151" s="15">
        <f t="shared" si="11"/>
        <v>0</v>
      </c>
    </row>
    <row r="152" spans="1:19" x14ac:dyDescent="0.25">
      <c r="A152" s="15">
        <f>Data!A152</f>
        <v>202001</v>
      </c>
      <c r="B152" s="15">
        <v>80450</v>
      </c>
      <c r="C152" s="15">
        <f>Data!F152</f>
        <v>3373</v>
      </c>
      <c r="D152" s="15">
        <f>IF(Data!D152="Mauritius", 1, 0)</f>
        <v>0</v>
      </c>
      <c r="E152" s="15">
        <f>IF(Regression!A152&gt;201500, 1, 0)</f>
        <v>1</v>
      </c>
      <c r="F152" s="15">
        <f t="shared" si="9"/>
        <v>0</v>
      </c>
      <c r="G152" s="11">
        <f>Data!J152</f>
        <v>4.2390673096777545E-4</v>
      </c>
      <c r="H152" s="11">
        <f t="shared" si="10"/>
        <v>0</v>
      </c>
      <c r="I152" s="10">
        <f>Data!H152</f>
        <v>1.3949545078577337</v>
      </c>
      <c r="J152" s="10">
        <f>Data!I152</f>
        <v>0.95913721107231564</v>
      </c>
      <c r="K152" s="10">
        <f t="shared" si="8"/>
        <v>0.95932195695789513</v>
      </c>
      <c r="L152" s="17">
        <f>Data!N152</f>
        <v>-1.0489700294480273</v>
      </c>
      <c r="M152" s="15">
        <f>Data!L152</f>
        <v>700.4</v>
      </c>
      <c r="N152" s="15">
        <f>Data!M152</f>
        <v>0.18089565634727478</v>
      </c>
      <c r="O152" s="15">
        <f>Data!O152</f>
        <v>138.42094421386719</v>
      </c>
      <c r="P152" s="17">
        <f>Data!P152</f>
        <v>4.48E-2</v>
      </c>
      <c r="Q152" s="17">
        <f>Data!R152</f>
        <v>-0.84</v>
      </c>
      <c r="R152" s="15">
        <f>Data!Q152</f>
        <v>-0.25</v>
      </c>
      <c r="S152" s="15">
        <f t="shared" si="11"/>
        <v>0</v>
      </c>
    </row>
    <row r="153" spans="1:19" x14ac:dyDescent="0.25">
      <c r="A153" s="15">
        <f>Data!A153</f>
        <v>201912</v>
      </c>
      <c r="B153" s="15">
        <v>80450</v>
      </c>
      <c r="C153" s="15">
        <f>Data!F153</f>
        <v>12559</v>
      </c>
      <c r="D153" s="15">
        <f>IF(Data!D153="Mauritius", 1, 0)</f>
        <v>0</v>
      </c>
      <c r="E153" s="15">
        <f>IF(Regression!A153&gt;201500, 1, 0)</f>
        <v>1</v>
      </c>
      <c r="F153" s="15">
        <f t="shared" si="9"/>
        <v>0</v>
      </c>
      <c r="G153" s="11">
        <f>Data!J153</f>
        <v>1.3606314786139045E-3</v>
      </c>
      <c r="H153" s="11">
        <f t="shared" si="10"/>
        <v>0</v>
      </c>
      <c r="I153" s="10">
        <f>Data!H153</f>
        <v>0.87671902268760904</v>
      </c>
      <c r="J153" s="10">
        <f>Data!I153</f>
        <v>0.89237959370955766</v>
      </c>
      <c r="K153" s="10">
        <f t="shared" si="8"/>
        <v>0.89235828544365214</v>
      </c>
      <c r="L153" s="17">
        <f>Data!N153</f>
        <v>-1.0180002431780022</v>
      </c>
      <c r="M153" s="15">
        <f>Data!L153</f>
        <v>802.4</v>
      </c>
      <c r="N153" s="15">
        <f>Data!M153</f>
        <v>9.2224054038524628E-2</v>
      </c>
      <c r="O153" s="15">
        <f>Data!O153</f>
        <v>74.279891967773438</v>
      </c>
      <c r="P153" s="17">
        <f>Data!P153</f>
        <v>4.4900000000000002E-2</v>
      </c>
      <c r="Q153" s="17">
        <f>Data!R153</f>
        <v>-0.8</v>
      </c>
      <c r="R153" s="15">
        <f>Data!Q153</f>
        <v>-0.28000000000000003</v>
      </c>
      <c r="S153" s="15">
        <f t="shared" si="11"/>
        <v>0</v>
      </c>
    </row>
    <row r="154" spans="1:19" x14ac:dyDescent="0.25">
      <c r="A154" s="15">
        <f>Data!A154</f>
        <v>201911</v>
      </c>
      <c r="B154" s="15">
        <v>80450</v>
      </c>
      <c r="C154" s="15">
        <f>Data!F154</f>
        <v>182</v>
      </c>
      <c r="D154" s="15">
        <f>IF(Data!D154="Mauritius", 1, 0)</f>
        <v>0</v>
      </c>
      <c r="E154" s="15">
        <f>IF(Regression!A154&gt;201500, 1, 0)</f>
        <v>1</v>
      </c>
      <c r="F154" s="15">
        <f t="shared" si="9"/>
        <v>0</v>
      </c>
      <c r="G154" s="11">
        <f>Data!J154</f>
        <v>2.0072419525038027E-5</v>
      </c>
      <c r="H154" s="11">
        <f t="shared" si="10"/>
        <v>0</v>
      </c>
      <c r="I154" s="10">
        <f>Data!H154</f>
        <v>1.1375</v>
      </c>
      <c r="J154" s="10">
        <f>Data!I154</f>
        <v>0.90338520569989933</v>
      </c>
      <c r="K154" s="10">
        <f t="shared" si="8"/>
        <v>0.9033899049502675</v>
      </c>
      <c r="L154" s="17">
        <f>Data!N154</f>
        <v>-0.74118989475881691</v>
      </c>
      <c r="M154" s="15">
        <f>Data!L154</f>
        <v>802.4</v>
      </c>
      <c r="N154" s="15">
        <f>Data!M154</f>
        <v>7.9225353896617889E-2</v>
      </c>
      <c r="O154" s="15">
        <f>Data!O154</f>
        <v>73.078384399414063</v>
      </c>
      <c r="P154" s="17">
        <f>Data!P154</f>
        <v>2.9999999999999997E-4</v>
      </c>
      <c r="Q154" s="17">
        <f>Data!R154</f>
        <v>-0.8</v>
      </c>
      <c r="R154" s="15">
        <f>Data!Q154</f>
        <v>-0.28000000000000003</v>
      </c>
      <c r="S154" s="15">
        <f t="shared" si="11"/>
        <v>0</v>
      </c>
    </row>
    <row r="155" spans="1:19" x14ac:dyDescent="0.25">
      <c r="A155" s="15">
        <f>Data!A155</f>
        <v>201910</v>
      </c>
      <c r="B155" s="15">
        <v>80450</v>
      </c>
      <c r="C155" s="15">
        <f>Data!F155</f>
        <v>1763</v>
      </c>
      <c r="D155" s="15">
        <f>IF(Data!D155="Mauritius", 1, 0)</f>
        <v>0</v>
      </c>
      <c r="E155" s="15">
        <f>IF(Regression!A155&gt;201500, 1, 0)</f>
        <v>1</v>
      </c>
      <c r="F155" s="15">
        <f t="shared" si="9"/>
        <v>0</v>
      </c>
      <c r="G155" s="11">
        <f>Data!J155</f>
        <v>1.9808078482685457E-4</v>
      </c>
      <c r="H155" s="11">
        <f t="shared" si="10"/>
        <v>0</v>
      </c>
      <c r="I155" s="10">
        <f>Data!H155</f>
        <v>0.83952380952380956</v>
      </c>
      <c r="J155" s="10">
        <f>Data!I155</f>
        <v>0.97781387344264203</v>
      </c>
      <c r="K155" s="10">
        <f t="shared" si="8"/>
        <v>0.97778648083824726</v>
      </c>
      <c r="L155" s="17">
        <f>Data!N155</f>
        <v>-0.67061020959639106</v>
      </c>
      <c r="M155" s="15">
        <f>Data!L155</f>
        <v>802.4</v>
      </c>
      <c r="N155" s="15">
        <f>Data!M155</f>
        <v>0.1681661456823349</v>
      </c>
      <c r="O155" s="15">
        <f>Data!O155</f>
        <v>97.83673095703125</v>
      </c>
      <c r="P155" s="17">
        <f>Data!P155</f>
        <v>1.49E-2</v>
      </c>
      <c r="Q155" s="17">
        <f>Data!R155</f>
        <v>-0.8</v>
      </c>
      <c r="R155" s="15">
        <f>Data!Q155</f>
        <v>-0.28000000000000003</v>
      </c>
      <c r="S155" s="15">
        <f t="shared" si="11"/>
        <v>0</v>
      </c>
    </row>
    <row r="156" spans="1:19" x14ac:dyDescent="0.25">
      <c r="A156" s="15">
        <f>Data!A156</f>
        <v>201909</v>
      </c>
      <c r="B156" s="15">
        <v>80450</v>
      </c>
      <c r="C156" s="15">
        <f>Data!F156</f>
        <v>6228</v>
      </c>
      <c r="D156" s="15">
        <f>IF(Data!D156="Mauritius", 1, 0)</f>
        <v>0</v>
      </c>
      <c r="E156" s="15">
        <f>IF(Regression!A156&gt;201500, 1, 0)</f>
        <v>1</v>
      </c>
      <c r="F156" s="15">
        <f t="shared" si="9"/>
        <v>0</v>
      </c>
      <c r="G156" s="11">
        <f>Data!J156</f>
        <v>6.6019510100889637E-4</v>
      </c>
      <c r="H156" s="11">
        <f t="shared" si="10"/>
        <v>0</v>
      </c>
      <c r="I156" s="10">
        <f>Data!H156</f>
        <v>4.3766690091356288</v>
      </c>
      <c r="J156" s="10">
        <f>Data!I156</f>
        <v>1.0319443499431278</v>
      </c>
      <c r="K156" s="10">
        <f t="shared" si="8"/>
        <v>1.0341525207773503</v>
      </c>
      <c r="L156" s="17">
        <f>Data!N156</f>
        <v>-0.73733650750326263</v>
      </c>
      <c r="M156" s="15">
        <f>Data!L156</f>
        <v>802.4</v>
      </c>
      <c r="N156" s="15">
        <f>Data!M156</f>
        <v>0.15501129627227783</v>
      </c>
      <c r="O156" s="15">
        <f>Data!O156</f>
        <v>90.367988586425781</v>
      </c>
      <c r="P156" s="17">
        <f>Data!P156</f>
        <v>9.0800000000000006E-2</v>
      </c>
      <c r="Q156" s="17">
        <f>Data!R156</f>
        <v>-0.8</v>
      </c>
      <c r="R156" s="15">
        <f>Data!Q156</f>
        <v>-0.28000000000000003</v>
      </c>
      <c r="S156" s="15">
        <f t="shared" si="11"/>
        <v>0</v>
      </c>
    </row>
    <row r="157" spans="1:19" x14ac:dyDescent="0.25">
      <c r="A157" s="15">
        <f>Data!A157</f>
        <v>201908</v>
      </c>
      <c r="B157" s="15">
        <v>80450</v>
      </c>
      <c r="C157" s="15">
        <f>Data!F157</f>
        <v>1444</v>
      </c>
      <c r="D157" s="15">
        <f>IF(Data!D157="Mauritius", 1, 0)</f>
        <v>0</v>
      </c>
      <c r="E157" s="15">
        <f>IF(Regression!A157&gt;201500, 1, 0)</f>
        <v>1</v>
      </c>
      <c r="F157" s="15">
        <f t="shared" si="9"/>
        <v>0</v>
      </c>
      <c r="G157" s="11">
        <f>Data!J157</f>
        <v>1.4959464409735173E-4</v>
      </c>
      <c r="H157" s="11">
        <f t="shared" si="10"/>
        <v>0</v>
      </c>
      <c r="I157" s="10">
        <f>Data!H157</f>
        <v>1.444</v>
      </c>
      <c r="J157" s="10">
        <f>Data!I157</f>
        <v>0.73745730747442462</v>
      </c>
      <c r="K157" s="10">
        <f t="shared" si="8"/>
        <v>0.73756300247705253</v>
      </c>
      <c r="L157" s="17">
        <f>Data!N157</f>
        <v>-0.3244489224930428</v>
      </c>
      <c r="M157" s="15">
        <f>Data!L157</f>
        <v>802.4</v>
      </c>
      <c r="N157" s="15">
        <f>Data!M157</f>
        <v>0.34510219097137451</v>
      </c>
      <c r="O157" s="15">
        <f>Data!O157</f>
        <v>103.4044189453125</v>
      </c>
      <c r="P157" s="17">
        <f>Data!P157</f>
        <v>1.1900000000000001E-2</v>
      </c>
      <c r="Q157" s="17">
        <f>Data!R157</f>
        <v>-0.8</v>
      </c>
      <c r="R157" s="15">
        <f>Data!Q157</f>
        <v>-0.28000000000000003</v>
      </c>
      <c r="S157" s="15">
        <f t="shared" si="11"/>
        <v>0</v>
      </c>
    </row>
    <row r="158" spans="1:19" x14ac:dyDescent="0.25">
      <c r="A158" s="15">
        <f>Data!A158</f>
        <v>201907</v>
      </c>
      <c r="B158" s="15">
        <v>80450</v>
      </c>
      <c r="C158" s="15">
        <f>Data!F158</f>
        <v>551</v>
      </c>
      <c r="D158" s="15">
        <f>IF(Data!D158="Mauritius", 1, 0)</f>
        <v>0</v>
      </c>
      <c r="E158" s="15">
        <f>IF(Regression!A158&gt;201500, 1, 0)</f>
        <v>1</v>
      </c>
      <c r="F158" s="15">
        <f t="shared" si="9"/>
        <v>0</v>
      </c>
      <c r="G158" s="11">
        <f>Data!J158</f>
        <v>4.3851425322534791E-5</v>
      </c>
      <c r="H158" s="11">
        <f t="shared" si="10"/>
        <v>0</v>
      </c>
      <c r="I158" s="10">
        <f>Data!H158</f>
        <v>27.55</v>
      </c>
      <c r="J158" s="10">
        <f>Data!I158</f>
        <v>0.80024868860197618</v>
      </c>
      <c r="K158" s="10">
        <f t="shared" si="8"/>
        <v>0.80142170332400431</v>
      </c>
      <c r="L158" s="17">
        <f>Data!N158</f>
        <v>-0.73796836587115133</v>
      </c>
      <c r="M158" s="15">
        <f>Data!L158</f>
        <v>802.4</v>
      </c>
      <c r="N158" s="15">
        <f>Data!M158</f>
        <v>0.17255109548568726</v>
      </c>
      <c r="O158" s="15">
        <f>Data!O158</f>
        <v>93.521255493164063</v>
      </c>
      <c r="P158" s="17">
        <f>Data!P158</f>
        <v>8.0000000000000002E-3</v>
      </c>
      <c r="Q158" s="17">
        <f>Data!R158</f>
        <v>-0.8</v>
      </c>
      <c r="R158" s="15">
        <f>Data!Q158</f>
        <v>-0.28000000000000003</v>
      </c>
      <c r="S158" s="15">
        <f t="shared" si="11"/>
        <v>0</v>
      </c>
    </row>
    <row r="159" spans="1:19" x14ac:dyDescent="0.25">
      <c r="A159" s="15">
        <f>Data!A159</f>
        <v>201906</v>
      </c>
      <c r="B159" s="15">
        <v>80450</v>
      </c>
      <c r="C159" s="15">
        <f>Data!F159</f>
        <v>2608</v>
      </c>
      <c r="D159" s="15">
        <f>IF(Data!D159="Mauritius", 1, 0)</f>
        <v>0</v>
      </c>
      <c r="E159" s="15">
        <f>IF(Regression!A159&gt;201500, 1, 0)</f>
        <v>1</v>
      </c>
      <c r="F159" s="15">
        <f t="shared" si="9"/>
        <v>0</v>
      </c>
      <c r="G159" s="11">
        <f>Data!J159</f>
        <v>1.5818139912903188E-4</v>
      </c>
      <c r="H159" s="11">
        <f t="shared" si="10"/>
        <v>0</v>
      </c>
      <c r="I159" s="10">
        <f>Data!H159</f>
        <v>1.304</v>
      </c>
      <c r="J159" s="10">
        <f>Data!I159</f>
        <v>1.1154855021525025</v>
      </c>
      <c r="K159" s="10">
        <f t="shared" si="8"/>
        <v>1.1155153216395279</v>
      </c>
      <c r="L159" s="17">
        <f>Data!N159</f>
        <v>-0.14851854025260722</v>
      </c>
      <c r="M159" s="15">
        <f>Data!L159</f>
        <v>802.4</v>
      </c>
      <c r="N159" s="15">
        <f>Data!M159</f>
        <v>0.20709292590618134</v>
      </c>
      <c r="O159" s="15">
        <f>Data!O159</f>
        <v>106.58845520019531</v>
      </c>
      <c r="P159" s="17">
        <f>Data!P159</f>
        <v>3.04E-2</v>
      </c>
      <c r="Q159" s="17">
        <f>Data!R159</f>
        <v>-0.8</v>
      </c>
      <c r="R159" s="15">
        <f>Data!Q159</f>
        <v>-0.28000000000000003</v>
      </c>
      <c r="S159" s="15">
        <f t="shared" si="11"/>
        <v>0</v>
      </c>
    </row>
    <row r="160" spans="1:19" x14ac:dyDescent="0.25">
      <c r="A160" s="15">
        <f>Data!A160</f>
        <v>201905</v>
      </c>
      <c r="B160" s="15">
        <v>80450</v>
      </c>
      <c r="C160" s="15">
        <f>Data!F160</f>
        <v>2279</v>
      </c>
      <c r="D160" s="15">
        <f>IF(Data!D160="Mauritius", 1, 0)</f>
        <v>0</v>
      </c>
      <c r="E160" s="15">
        <f>IF(Regression!A160&gt;201500, 1, 0)</f>
        <v>1</v>
      </c>
      <c r="F160" s="15">
        <f t="shared" si="9"/>
        <v>0</v>
      </c>
      <c r="G160" s="11">
        <f>Data!J160</f>
        <v>7.8607726439317298E-5</v>
      </c>
      <c r="H160" s="11">
        <f t="shared" si="10"/>
        <v>0</v>
      </c>
      <c r="I160" s="10">
        <f>Data!H160</f>
        <v>1.6163120567375886</v>
      </c>
      <c r="J160" s="10">
        <f>Data!I160</f>
        <v>1.2825428641450574</v>
      </c>
      <c r="K160" s="10">
        <f t="shared" si="8"/>
        <v>1.2825691009824425</v>
      </c>
      <c r="L160" s="17">
        <f>Data!N160</f>
        <v>-0.85610028948848471</v>
      </c>
      <c r="M160" s="15">
        <f>Data!L160</f>
        <v>802.4</v>
      </c>
      <c r="N160" s="15">
        <f>Data!M160</f>
        <v>0.26218515634536743</v>
      </c>
      <c r="O160" s="15">
        <f>Data!O160</f>
        <v>106.47190093994141</v>
      </c>
      <c r="P160" s="17">
        <f>Data!P160</f>
        <v>7.0900000000000005E-2</v>
      </c>
      <c r="Q160" s="17">
        <f>Data!R160</f>
        <v>-0.8</v>
      </c>
      <c r="R160" s="15">
        <f>Data!Q160</f>
        <v>-0.28000000000000003</v>
      </c>
      <c r="S160" s="15">
        <f t="shared" si="11"/>
        <v>0</v>
      </c>
    </row>
    <row r="161" spans="1:19" x14ac:dyDescent="0.25">
      <c r="A161" s="15">
        <f>Data!A161</f>
        <v>201904</v>
      </c>
      <c r="B161" s="15">
        <v>80450</v>
      </c>
      <c r="C161" s="15">
        <f>Data!F161</f>
        <v>20934</v>
      </c>
      <c r="D161" s="15">
        <f>IF(Data!D161="Mauritius", 1, 0)</f>
        <v>0</v>
      </c>
      <c r="E161" s="15">
        <f>IF(Regression!A161&gt;201500, 1, 0)</f>
        <v>1</v>
      </c>
      <c r="F161" s="15">
        <f t="shared" si="9"/>
        <v>0</v>
      </c>
      <c r="G161" s="11">
        <f>Data!J161</f>
        <v>1.083524445085797E-3</v>
      </c>
      <c r="H161" s="11">
        <f t="shared" si="10"/>
        <v>0</v>
      </c>
      <c r="I161" s="10">
        <f>Data!H161</f>
        <v>0.54403700719873183</v>
      </c>
      <c r="J161" s="10">
        <f>Data!I161</f>
        <v>1.3223455244908549</v>
      </c>
      <c r="K161" s="10">
        <f t="shared" si="8"/>
        <v>1.3215022081865504</v>
      </c>
      <c r="L161" s="17">
        <f>Data!N161</f>
        <v>-0.62603599213768069</v>
      </c>
      <c r="M161" s="15">
        <f>Data!L161</f>
        <v>802.4</v>
      </c>
      <c r="N161" s="15">
        <f>Data!M161</f>
        <v>0.35365745425224304</v>
      </c>
      <c r="O161" s="15">
        <f>Data!O161</f>
        <v>79.253448486328125</v>
      </c>
      <c r="P161" s="17">
        <f>Data!P161</f>
        <v>0.106</v>
      </c>
      <c r="Q161" s="17">
        <f>Data!R161</f>
        <v>-0.8</v>
      </c>
      <c r="R161" s="15">
        <f>Data!Q161</f>
        <v>-0.28000000000000003</v>
      </c>
      <c r="S161" s="15">
        <f t="shared" si="11"/>
        <v>0</v>
      </c>
    </row>
    <row r="162" spans="1:19" x14ac:dyDescent="0.25">
      <c r="A162" s="15">
        <f>Data!A162</f>
        <v>201903</v>
      </c>
      <c r="B162" s="15">
        <v>80450</v>
      </c>
      <c r="C162" s="15">
        <f>Data!F162</f>
        <v>3151</v>
      </c>
      <c r="D162" s="15">
        <f>IF(Data!D162="Mauritius", 1, 0)</f>
        <v>0</v>
      </c>
      <c r="E162" s="15">
        <f>IF(Regression!A162&gt;201500, 1, 0)</f>
        <v>1</v>
      </c>
      <c r="F162" s="15">
        <f t="shared" si="9"/>
        <v>0</v>
      </c>
      <c r="G162" s="11">
        <f>Data!J162</f>
        <v>2.3725431923709371E-4</v>
      </c>
      <c r="H162" s="11">
        <f t="shared" si="10"/>
        <v>0</v>
      </c>
      <c r="I162" s="10">
        <f>Data!H162</f>
        <v>1.4574468085106382</v>
      </c>
      <c r="J162" s="10">
        <f>Data!I162</f>
        <v>1.1582068510596883</v>
      </c>
      <c r="K162" s="10">
        <f t="shared" si="8"/>
        <v>1.158277847032082</v>
      </c>
      <c r="L162" s="17">
        <f>Data!N162</f>
        <v>-0.87092968070564603</v>
      </c>
      <c r="M162" s="15">
        <f>Data!L162</f>
        <v>802.4</v>
      </c>
      <c r="N162" s="15">
        <f>Data!M162</f>
        <v>0.30866771936416626</v>
      </c>
      <c r="O162" s="15">
        <f>Data!O162</f>
        <v>82.328292846679688</v>
      </c>
      <c r="P162" s="17">
        <f>Data!P162</f>
        <v>7.1599999999999997E-2</v>
      </c>
      <c r="Q162" s="17">
        <f>Data!R162</f>
        <v>-0.8</v>
      </c>
      <c r="R162" s="15">
        <f>Data!Q162</f>
        <v>-0.28000000000000003</v>
      </c>
      <c r="S162" s="15">
        <f t="shared" si="11"/>
        <v>0</v>
      </c>
    </row>
    <row r="163" spans="1:19" x14ac:dyDescent="0.25">
      <c r="A163" s="15">
        <f>Data!A163</f>
        <v>201902</v>
      </c>
      <c r="B163" s="15">
        <v>80450</v>
      </c>
      <c r="C163" s="15">
        <f>Data!F163</f>
        <v>3174</v>
      </c>
      <c r="D163" s="15">
        <f>IF(Data!D163="Mauritius", 1, 0)</f>
        <v>0</v>
      </c>
      <c r="E163" s="15">
        <f>IF(Regression!A163&gt;201500, 1, 0)</f>
        <v>1</v>
      </c>
      <c r="F163" s="15">
        <f t="shared" si="9"/>
        <v>0</v>
      </c>
      <c r="G163" s="11">
        <f>Data!J163</f>
        <v>4.1482138240859357E-4</v>
      </c>
      <c r="H163" s="11">
        <f t="shared" si="10"/>
        <v>0</v>
      </c>
      <c r="I163" s="10">
        <f>Data!H163</f>
        <v>1.1005547850208044</v>
      </c>
      <c r="J163" s="10">
        <f>Data!I163</f>
        <v>0.96792293844307509</v>
      </c>
      <c r="K163" s="10">
        <f t="shared" si="8"/>
        <v>0.967977956969024</v>
      </c>
      <c r="L163" s="17">
        <f>Data!N163</f>
        <v>-1.0273168028786883</v>
      </c>
      <c r="M163" s="15">
        <f>Data!L163</f>
        <v>802.4</v>
      </c>
      <c r="N163" s="15">
        <f>Data!M163</f>
        <v>0.3635161817073822</v>
      </c>
      <c r="O163" s="15">
        <f>Data!O163</f>
        <v>96.800163269042969</v>
      </c>
      <c r="P163" s="17">
        <f>Data!P163</f>
        <v>6.5100000000000005E-2</v>
      </c>
      <c r="Q163" s="17">
        <f>Data!R163</f>
        <v>-0.8</v>
      </c>
      <c r="R163" s="15">
        <f>Data!Q163</f>
        <v>-0.28000000000000003</v>
      </c>
      <c r="S163" s="15">
        <f t="shared" si="11"/>
        <v>0</v>
      </c>
    </row>
    <row r="164" spans="1:19" x14ac:dyDescent="0.25">
      <c r="A164" s="15">
        <f>Data!A164</f>
        <v>201901</v>
      </c>
      <c r="B164" s="15">
        <v>80450</v>
      </c>
      <c r="C164" s="15">
        <f>Data!F164</f>
        <v>186</v>
      </c>
      <c r="D164" s="15">
        <f>IF(Data!D164="Mauritius", 1, 0)</f>
        <v>0</v>
      </c>
      <c r="E164" s="15">
        <f>IF(Regression!A164&gt;201500, 1, 0)</f>
        <v>1</v>
      </c>
      <c r="F164" s="15">
        <f t="shared" si="9"/>
        <v>0</v>
      </c>
      <c r="G164" s="11">
        <f>Data!J164</f>
        <v>2.5259397718180085E-5</v>
      </c>
      <c r="H164" s="11">
        <f t="shared" si="10"/>
        <v>0</v>
      </c>
      <c r="I164" s="10">
        <f>Data!H164</f>
        <v>1.24</v>
      </c>
      <c r="J164" s="10">
        <f>Data!I164</f>
        <v>0.87053230698516371</v>
      </c>
      <c r="K164" s="10">
        <f t="shared" si="8"/>
        <v>0.8705416395165656</v>
      </c>
      <c r="L164" s="17">
        <f>Data!N164</f>
        <v>-0.36522089152952775</v>
      </c>
      <c r="M164" s="15">
        <f>Data!L164</f>
        <v>802.4</v>
      </c>
      <c r="N164" s="15">
        <f>Data!M164</f>
        <v>8.9247770607471466E-2</v>
      </c>
      <c r="O164" s="15">
        <f>Data!O164</f>
        <v>87.424102783203125</v>
      </c>
      <c r="P164" s="17">
        <f>Data!P164</f>
        <v>1.1999999999999999E-3</v>
      </c>
      <c r="Q164" s="17">
        <f>Data!R164</f>
        <v>-0.8</v>
      </c>
      <c r="R164" s="15">
        <f>Data!Q164</f>
        <v>-0.28000000000000003</v>
      </c>
      <c r="S164" s="15">
        <f t="shared" si="11"/>
        <v>0</v>
      </c>
    </row>
    <row r="165" spans="1:19" x14ac:dyDescent="0.25">
      <c r="A165" s="15">
        <f>Data!A165</f>
        <v>201812</v>
      </c>
      <c r="B165" s="15">
        <v>80450</v>
      </c>
      <c r="C165" s="15">
        <f>Data!F165</f>
        <v>2261</v>
      </c>
      <c r="D165" s="15">
        <f>IF(Data!D165="Mauritius", 1, 0)</f>
        <v>0</v>
      </c>
      <c r="E165" s="15">
        <f>IF(Regression!A165&gt;201500, 1, 0)</f>
        <v>1</v>
      </c>
      <c r="F165" s="15">
        <f t="shared" si="9"/>
        <v>0</v>
      </c>
      <c r="G165" s="11">
        <f>Data!J165</f>
        <v>2.687177161394879E-4</v>
      </c>
      <c r="H165" s="11">
        <f t="shared" si="10"/>
        <v>0</v>
      </c>
      <c r="I165" s="10">
        <f>Data!H165</f>
        <v>1.5922535211267606</v>
      </c>
      <c r="J165" s="10">
        <f>Data!I165</f>
        <v>0.79758722781166136</v>
      </c>
      <c r="K165" s="10">
        <f t="shared" si="8"/>
        <v>0.79780076872309413</v>
      </c>
      <c r="L165" s="17">
        <f>Data!N165</f>
        <v>-0.91955396319677318</v>
      </c>
      <c r="M165" s="15">
        <f>Data!L165</f>
        <v>768.6</v>
      </c>
      <c r="N165" s="15">
        <f>Data!M165</f>
        <v>7.9793475568294525E-2</v>
      </c>
      <c r="O165" s="15">
        <f>Data!O165</f>
        <v>90.607666015625</v>
      </c>
      <c r="P165" s="17">
        <f>Data!P165</f>
        <v>2.0799999999999999E-2</v>
      </c>
      <c r="Q165" s="17">
        <f>Data!R165</f>
        <v>-1</v>
      </c>
      <c r="R165" s="15">
        <f>Data!Q165</f>
        <v>-0.24</v>
      </c>
      <c r="S165" s="15">
        <f t="shared" si="11"/>
        <v>0</v>
      </c>
    </row>
    <row r="166" spans="1:19" x14ac:dyDescent="0.25">
      <c r="A166" s="15">
        <f>Data!A166</f>
        <v>201811</v>
      </c>
      <c r="B166" s="15">
        <v>80450</v>
      </c>
      <c r="C166" s="15">
        <f>Data!F166</f>
        <v>2284</v>
      </c>
      <c r="D166" s="15">
        <f>IF(Data!D166="Mauritius", 1, 0)</f>
        <v>0</v>
      </c>
      <c r="E166" s="15">
        <f>IF(Regression!A166&gt;201500, 1, 0)</f>
        <v>1</v>
      </c>
      <c r="F166" s="15">
        <f t="shared" si="9"/>
        <v>0</v>
      </c>
      <c r="G166" s="11">
        <f>Data!J166</f>
        <v>3.0964658939330284E-4</v>
      </c>
      <c r="H166" s="11">
        <f t="shared" si="10"/>
        <v>0</v>
      </c>
      <c r="I166" s="10">
        <f>Data!H166</f>
        <v>1.2903954802259887</v>
      </c>
      <c r="J166" s="10">
        <f>Data!I166</f>
        <v>0.89713798650890697</v>
      </c>
      <c r="K166" s="10">
        <f t="shared" si="8"/>
        <v>0.89725975735058994</v>
      </c>
      <c r="L166" s="17">
        <f>Data!N166</f>
        <v>-0.96209755550941745</v>
      </c>
      <c r="M166" s="15">
        <f>Data!L166</f>
        <v>768.6</v>
      </c>
      <c r="N166" s="15">
        <f>Data!M166</f>
        <v>0.18225744366645813</v>
      </c>
      <c r="O166" s="15">
        <f>Data!O166</f>
        <v>80.407585144042969</v>
      </c>
      <c r="P166" s="17">
        <f>Data!P166</f>
        <v>6.6E-3</v>
      </c>
      <c r="Q166" s="17">
        <f>Data!R166</f>
        <v>-1</v>
      </c>
      <c r="R166" s="15">
        <f>Data!Q166</f>
        <v>-0.24</v>
      </c>
      <c r="S166" s="15">
        <f t="shared" si="11"/>
        <v>0</v>
      </c>
    </row>
    <row r="167" spans="1:19" x14ac:dyDescent="0.25">
      <c r="A167" s="15">
        <f>Data!A167</f>
        <v>201810</v>
      </c>
      <c r="B167" s="15">
        <v>80450</v>
      </c>
      <c r="C167" s="15">
        <f>Data!F167</f>
        <v>1696</v>
      </c>
      <c r="D167" s="15">
        <f>IF(Data!D167="Mauritius", 1, 0)</f>
        <v>0</v>
      </c>
      <c r="E167" s="15">
        <f>IF(Regression!A167&gt;201500, 1, 0)</f>
        <v>1</v>
      </c>
      <c r="F167" s="15">
        <f t="shared" si="9"/>
        <v>0</v>
      </c>
      <c r="G167" s="11">
        <f>Data!J167</f>
        <v>1.9444780435065497E-4</v>
      </c>
      <c r="H167" s="11">
        <f t="shared" si="10"/>
        <v>0</v>
      </c>
      <c r="I167" s="10">
        <f>Data!H167</f>
        <v>1.5531135531135531</v>
      </c>
      <c r="J167" s="10">
        <f>Data!I167</f>
        <v>0.88552039203519117</v>
      </c>
      <c r="K167" s="10">
        <f t="shared" si="8"/>
        <v>0.88565020405956241</v>
      </c>
      <c r="L167" s="17">
        <f>Data!N167</f>
        <v>-0.68448985475320867</v>
      </c>
      <c r="M167" s="15">
        <f>Data!L167</f>
        <v>768.6</v>
      </c>
      <c r="N167" s="15">
        <f>Data!M167</f>
        <v>0.20596474409103394</v>
      </c>
      <c r="O167" s="15">
        <f>Data!O167</f>
        <v>92.0164794921875</v>
      </c>
      <c r="P167" s="17">
        <f>Data!P167</f>
        <v>8.6E-3</v>
      </c>
      <c r="Q167" s="17">
        <f>Data!R167</f>
        <v>-1</v>
      </c>
      <c r="R167" s="15">
        <f>Data!Q167</f>
        <v>-0.24</v>
      </c>
      <c r="S167" s="15">
        <f t="shared" si="11"/>
        <v>0</v>
      </c>
    </row>
    <row r="168" spans="1:19" x14ac:dyDescent="0.25">
      <c r="A168" s="15">
        <f>Data!A168</f>
        <v>201809</v>
      </c>
      <c r="B168" s="15">
        <v>80450</v>
      </c>
      <c r="C168" s="15">
        <f>Data!F168</f>
        <v>44</v>
      </c>
      <c r="D168" s="15">
        <f>IF(Data!D168="Mauritius", 1, 0)</f>
        <v>0</v>
      </c>
      <c r="E168" s="15">
        <f>IF(Regression!A168&gt;201500, 1, 0)</f>
        <v>1</v>
      </c>
      <c r="F168" s="15">
        <f t="shared" si="9"/>
        <v>0</v>
      </c>
      <c r="G168" s="11">
        <f>Data!J168</f>
        <v>3.6961822217835339E-6</v>
      </c>
      <c r="H168" s="11">
        <f t="shared" si="10"/>
        <v>0</v>
      </c>
      <c r="I168" s="10">
        <f>Data!H168</f>
        <v>0.73333333333333328</v>
      </c>
      <c r="J168" s="10">
        <f>Data!I168</f>
        <v>0.82516201121965382</v>
      </c>
      <c r="K168" s="10">
        <f t="shared" si="8"/>
        <v>0.82516167180412725</v>
      </c>
      <c r="L168" s="17">
        <f>Data!N168</f>
        <v>-0.86757310177558078</v>
      </c>
      <c r="M168" s="15">
        <f>Data!L168</f>
        <v>768.6</v>
      </c>
      <c r="N168" s="15">
        <f>Data!M168</f>
        <v>0.15539689362049103</v>
      </c>
      <c r="O168" s="15">
        <f>Data!O168</f>
        <v>75.053909301757813</v>
      </c>
      <c r="P168" s="17">
        <f>Data!P168</f>
        <v>2.0000000000000001E-4</v>
      </c>
      <c r="Q168" s="17">
        <f>Data!R168</f>
        <v>-1</v>
      </c>
      <c r="R168" s="15">
        <f>Data!Q168</f>
        <v>-0.24</v>
      </c>
      <c r="S168" s="15">
        <f t="shared" si="11"/>
        <v>0</v>
      </c>
    </row>
    <row r="169" spans="1:19" x14ac:dyDescent="0.25">
      <c r="A169" s="15">
        <f>Data!A169</f>
        <v>201808</v>
      </c>
      <c r="B169" s="15">
        <v>80450</v>
      </c>
      <c r="C169" s="15">
        <f>Data!F169</f>
        <v>30294</v>
      </c>
      <c r="D169" s="15">
        <f>IF(Data!D169="Mauritius", 1, 0)</f>
        <v>0</v>
      </c>
      <c r="E169" s="15">
        <f>IF(Regression!A169&gt;201500, 1, 0)</f>
        <v>1</v>
      </c>
      <c r="F169" s="15">
        <f t="shared" si="9"/>
        <v>0</v>
      </c>
      <c r="G169" s="11">
        <f>Data!J169</f>
        <v>2.250094589537855E-3</v>
      </c>
      <c r="H169" s="11">
        <f t="shared" si="10"/>
        <v>0</v>
      </c>
      <c r="I169" s="10">
        <f>Data!H169</f>
        <v>0.8277049180327869</v>
      </c>
      <c r="J169" s="10">
        <f>Data!I169</f>
        <v>0.89076896561192165</v>
      </c>
      <c r="K169" s="10">
        <f t="shared" si="8"/>
        <v>0.89062706553966953</v>
      </c>
      <c r="L169" s="17">
        <f>Data!N169</f>
        <v>4.2930244020189479</v>
      </c>
      <c r="M169" s="15">
        <f>Data!L169</f>
        <v>768.6</v>
      </c>
      <c r="N169" s="15">
        <f>Data!M169</f>
        <v>0.14780311286449432</v>
      </c>
      <c r="O169" s="15">
        <f>Data!O169</f>
        <v>112.74168395996094</v>
      </c>
      <c r="P169" s="17">
        <f>Data!P169</f>
        <v>0.15679999999999999</v>
      </c>
      <c r="Q169" s="17">
        <f>Data!R169</f>
        <v>-1</v>
      </c>
      <c r="R169" s="15">
        <f>Data!Q169</f>
        <v>-0.24</v>
      </c>
      <c r="S169" s="15">
        <f t="shared" si="11"/>
        <v>0</v>
      </c>
    </row>
    <row r="170" spans="1:19" x14ac:dyDescent="0.25">
      <c r="A170" s="15">
        <f>Data!A170</f>
        <v>201806</v>
      </c>
      <c r="B170" s="15">
        <v>80450</v>
      </c>
      <c r="C170" s="15">
        <f>Data!F170</f>
        <v>10076</v>
      </c>
      <c r="D170" s="15">
        <f>IF(Data!D170="Mauritius", 1, 0)</f>
        <v>0</v>
      </c>
      <c r="E170" s="15">
        <f>IF(Regression!A170&gt;201500, 1, 0)</f>
        <v>1</v>
      </c>
      <c r="F170" s="15">
        <f t="shared" si="9"/>
        <v>0</v>
      </c>
      <c r="G170" s="11">
        <f>Data!J170</f>
        <v>6.0915533382419626E-4</v>
      </c>
      <c r="H170" s="11">
        <f t="shared" si="10"/>
        <v>0</v>
      </c>
      <c r="I170" s="10">
        <f>Data!H170</f>
        <v>1.4261854210898797</v>
      </c>
      <c r="J170" s="10">
        <f>Data!I170</f>
        <v>1.142489204813848</v>
      </c>
      <c r="K170" s="10">
        <f t="shared" si="8"/>
        <v>1.1426620198771782</v>
      </c>
      <c r="L170" s="17">
        <f>Data!N170</f>
        <v>0.66845204595298857</v>
      </c>
      <c r="M170" s="15">
        <f>Data!L170</f>
        <v>768.6</v>
      </c>
      <c r="N170" s="15">
        <f>Data!M170</f>
        <v>0.16108380258083344</v>
      </c>
      <c r="O170" s="15">
        <f>Data!O170</f>
        <v>103.96858978271484</v>
      </c>
      <c r="P170" s="17">
        <f>Data!P170</f>
        <v>0.1328</v>
      </c>
      <c r="Q170" s="17">
        <f>Data!R170</f>
        <v>-1</v>
      </c>
      <c r="R170" s="15">
        <f>Data!Q170</f>
        <v>-0.24</v>
      </c>
      <c r="S170" s="15">
        <f t="shared" si="11"/>
        <v>0</v>
      </c>
    </row>
    <row r="171" spans="1:19" x14ac:dyDescent="0.25">
      <c r="A171" s="15">
        <f>Data!A171</f>
        <v>201805</v>
      </c>
      <c r="B171" s="15">
        <v>80450</v>
      </c>
      <c r="C171" s="15">
        <f>Data!F171</f>
        <v>3649</v>
      </c>
      <c r="D171" s="15">
        <f>IF(Data!D171="Mauritius", 1, 0)</f>
        <v>0</v>
      </c>
      <c r="E171" s="15">
        <f>IF(Regression!A171&gt;201500, 1, 0)</f>
        <v>1</v>
      </c>
      <c r="F171" s="15">
        <f t="shared" si="9"/>
        <v>0</v>
      </c>
      <c r="G171" s="11">
        <f>Data!J171</f>
        <v>1.2476532988599443E-4</v>
      </c>
      <c r="H171" s="11">
        <f t="shared" si="10"/>
        <v>0</v>
      </c>
      <c r="I171" s="10">
        <f>Data!H171</f>
        <v>1.6972093023255814</v>
      </c>
      <c r="J171" s="10">
        <f>Data!I171</f>
        <v>1.3560176342663179</v>
      </c>
      <c r="K171" s="10">
        <f t="shared" si="8"/>
        <v>1.3560602031573377</v>
      </c>
      <c r="L171" s="17">
        <f>Data!N171</f>
        <v>0.21270241514632215</v>
      </c>
      <c r="M171" s="15">
        <f>Data!L171</f>
        <v>768.6</v>
      </c>
      <c r="N171" s="15">
        <f>Data!M171</f>
        <v>0.28573828935623169</v>
      </c>
      <c r="O171" s="15">
        <f>Data!O171</f>
        <v>125.66661834716797</v>
      </c>
      <c r="P171" s="17">
        <f>Data!P171</f>
        <v>5.0299999999999997E-2</v>
      </c>
      <c r="Q171" s="17">
        <f>Data!R171</f>
        <v>-1</v>
      </c>
      <c r="R171" s="15">
        <f>Data!Q171</f>
        <v>-0.24</v>
      </c>
      <c r="S171" s="15">
        <f t="shared" si="11"/>
        <v>0</v>
      </c>
    </row>
    <row r="172" spans="1:19" x14ac:dyDescent="0.25">
      <c r="A172" s="15">
        <f>Data!A172</f>
        <v>201804</v>
      </c>
      <c r="B172" s="15">
        <v>80450</v>
      </c>
      <c r="C172" s="15">
        <f>Data!F172</f>
        <v>4231</v>
      </c>
      <c r="D172" s="15">
        <f>IF(Data!D172="Mauritius", 1, 0)</f>
        <v>0</v>
      </c>
      <c r="E172" s="15">
        <f>IF(Regression!A172&gt;201500, 1, 0)</f>
        <v>1</v>
      </c>
      <c r="F172" s="15">
        <f t="shared" si="9"/>
        <v>0</v>
      </c>
      <c r="G172" s="11">
        <f>Data!J172</f>
        <v>2.1330175129761927E-4</v>
      </c>
      <c r="H172" s="11">
        <f t="shared" si="10"/>
        <v>0</v>
      </c>
      <c r="I172" s="10">
        <f>Data!H172</f>
        <v>1.6592156862745098</v>
      </c>
      <c r="J172" s="10">
        <f>Data!I172</f>
        <v>1.419240975513705</v>
      </c>
      <c r="K172" s="10">
        <f t="shared" si="8"/>
        <v>1.4192921625397774</v>
      </c>
      <c r="L172" s="17">
        <f>Data!N172</f>
        <v>-0.85364949898330589</v>
      </c>
      <c r="M172" s="15">
        <f>Data!L172</f>
        <v>768.6</v>
      </c>
      <c r="N172" s="15">
        <f>Data!M172</f>
        <v>0.14684921503067017</v>
      </c>
      <c r="O172" s="15">
        <f>Data!O172</f>
        <v>123.26347351074219</v>
      </c>
      <c r="P172" s="17">
        <f>Data!P172</f>
        <v>3.2399999999999998E-2</v>
      </c>
      <c r="Q172" s="17">
        <f>Data!R172</f>
        <v>-1</v>
      </c>
      <c r="R172" s="15">
        <f>Data!Q172</f>
        <v>-0.24</v>
      </c>
      <c r="S172" s="15">
        <f t="shared" si="11"/>
        <v>0</v>
      </c>
    </row>
    <row r="173" spans="1:19" x14ac:dyDescent="0.25">
      <c r="A173" s="15">
        <f>Data!A173</f>
        <v>201803</v>
      </c>
      <c r="B173" s="15">
        <v>80450</v>
      </c>
      <c r="C173" s="15">
        <f>Data!F173</f>
        <v>4256</v>
      </c>
      <c r="D173" s="15">
        <f>IF(Data!D173="Mauritius", 1, 0)</f>
        <v>0</v>
      </c>
      <c r="E173" s="15">
        <f>IF(Regression!A173&gt;201500, 1, 0)</f>
        <v>1</v>
      </c>
      <c r="F173" s="15">
        <f t="shared" si="9"/>
        <v>0</v>
      </c>
      <c r="G173" s="11">
        <f>Data!J173</f>
        <v>2.8096693291188295E-4</v>
      </c>
      <c r="H173" s="11">
        <f t="shared" si="10"/>
        <v>0</v>
      </c>
      <c r="I173" s="10">
        <f>Data!H173</f>
        <v>0.32610527928894339</v>
      </c>
      <c r="J173" s="10">
        <f>Data!I173</f>
        <v>1.1721498370579335</v>
      </c>
      <c r="K173" s="10">
        <f t="shared" si="8"/>
        <v>1.1719121265134302</v>
      </c>
      <c r="L173" s="17">
        <f>Data!N173</f>
        <v>-0.32825199784108372</v>
      </c>
      <c r="M173" s="15">
        <f>Data!L173</f>
        <v>768.6</v>
      </c>
      <c r="N173" s="15">
        <f>Data!M173</f>
        <v>0.1322433203458786</v>
      </c>
      <c r="O173" s="15">
        <f>Data!O173</f>
        <v>111.96229553222656</v>
      </c>
      <c r="P173" s="17">
        <f>Data!P173</f>
        <v>4.0899999999999999E-2</v>
      </c>
      <c r="Q173" s="17">
        <f>Data!R173</f>
        <v>-1</v>
      </c>
      <c r="R173" s="15">
        <f>Data!Q173</f>
        <v>-0.24</v>
      </c>
      <c r="S173" s="15">
        <f t="shared" si="11"/>
        <v>0</v>
      </c>
    </row>
    <row r="174" spans="1:19" x14ac:dyDescent="0.25">
      <c r="A174" s="15">
        <f>Data!A174</f>
        <v>201802</v>
      </c>
      <c r="B174" s="15">
        <v>80450</v>
      </c>
      <c r="C174" s="15">
        <f>Data!F174</f>
        <v>31902</v>
      </c>
      <c r="D174" s="15">
        <f>IF(Data!D174="Mauritius", 1, 0)</f>
        <v>0</v>
      </c>
      <c r="E174" s="15">
        <f>IF(Regression!A174&gt;201500, 1, 0)</f>
        <v>1</v>
      </c>
      <c r="F174" s="15">
        <f t="shared" si="9"/>
        <v>0</v>
      </c>
      <c r="G174" s="11">
        <f>Data!J174</f>
        <v>4.1888190752376346E-3</v>
      </c>
      <c r="H174" s="11">
        <f t="shared" si="10"/>
        <v>0</v>
      </c>
      <c r="I174" s="10">
        <f>Data!H174</f>
        <v>1.7882286995515695</v>
      </c>
      <c r="J174" s="10">
        <f>Data!I174</f>
        <v>1.0016018287676611</v>
      </c>
      <c r="K174" s="10">
        <f t="shared" si="8"/>
        <v>1.0048968664090954</v>
      </c>
      <c r="L174" s="17">
        <f>Data!N174</f>
        <v>-1.2495991951558016</v>
      </c>
      <c r="M174" s="15">
        <f>Data!L174</f>
        <v>768.6</v>
      </c>
      <c r="N174" s="15">
        <f>Data!M174</f>
        <v>7.9047709703445435E-2</v>
      </c>
      <c r="O174" s="15">
        <f>Data!O174</f>
        <v>64.491371154785156</v>
      </c>
      <c r="P174" s="17">
        <f>Data!P174</f>
        <v>0.56789999999999996</v>
      </c>
      <c r="Q174" s="17">
        <f>Data!R174</f>
        <v>-1</v>
      </c>
      <c r="R174" s="15">
        <f>Data!Q174</f>
        <v>-0.24</v>
      </c>
      <c r="S174" s="15">
        <f t="shared" si="11"/>
        <v>0</v>
      </c>
    </row>
    <row r="175" spans="1:19" x14ac:dyDescent="0.25">
      <c r="A175" s="15">
        <f>Data!A175</f>
        <v>201801</v>
      </c>
      <c r="B175" s="15">
        <v>80450</v>
      </c>
      <c r="C175" s="15">
        <f>Data!F175</f>
        <v>7005</v>
      </c>
      <c r="D175" s="15">
        <f>IF(Data!D175="Mauritius", 1, 0)</f>
        <v>0</v>
      </c>
      <c r="E175" s="15">
        <f>IF(Regression!A175&gt;201500, 1, 0)</f>
        <v>1</v>
      </c>
      <c r="F175" s="15">
        <f t="shared" si="9"/>
        <v>0</v>
      </c>
      <c r="G175" s="11">
        <f>Data!J175</f>
        <v>7.6286032218079818E-4</v>
      </c>
      <c r="H175" s="11">
        <f t="shared" si="10"/>
        <v>0</v>
      </c>
      <c r="I175" s="10">
        <f>Data!H175</f>
        <v>1.3117977528089888</v>
      </c>
      <c r="J175" s="10">
        <f>Data!I175</f>
        <v>0.8812220369951137</v>
      </c>
      <c r="K175" s="10">
        <f t="shared" si="8"/>
        <v>0.88155050612440267</v>
      </c>
      <c r="L175" s="17">
        <f>Data!N175</f>
        <v>-0.44591239965391871</v>
      </c>
      <c r="M175" s="15">
        <f>Data!L175</f>
        <v>768.6</v>
      </c>
      <c r="N175" s="15">
        <f>Data!M175</f>
        <v>0.17787419259548187</v>
      </c>
      <c r="O175" s="15">
        <f>Data!O175</f>
        <v>92.426788330078125</v>
      </c>
      <c r="P175" s="17">
        <f>Data!P175</f>
        <v>5.2200000000000003E-2</v>
      </c>
      <c r="Q175" s="17">
        <f>Data!R175</f>
        <v>-1</v>
      </c>
      <c r="R175" s="15">
        <f>Data!Q175</f>
        <v>-0.24</v>
      </c>
      <c r="S175" s="15">
        <f t="shared" si="11"/>
        <v>0</v>
      </c>
    </row>
    <row r="176" spans="1:19" x14ac:dyDescent="0.25">
      <c r="A176" s="15">
        <f>Data!A176</f>
        <v>201712</v>
      </c>
      <c r="B176" s="15">
        <v>80450</v>
      </c>
      <c r="C176" s="15">
        <f>Data!F176</f>
        <v>1657</v>
      </c>
      <c r="D176" s="15">
        <f>IF(Data!D176="Mauritius", 1, 0)</f>
        <v>0</v>
      </c>
      <c r="E176" s="15">
        <f>IF(Regression!A176&gt;201500, 1, 0)</f>
        <v>1</v>
      </c>
      <c r="F176" s="15">
        <f t="shared" si="9"/>
        <v>0</v>
      </c>
      <c r="G176" s="11">
        <f>Data!J176</f>
        <v>1.7407003582355034E-4</v>
      </c>
      <c r="H176" s="11">
        <f t="shared" si="10"/>
        <v>0</v>
      </c>
      <c r="I176" s="10">
        <f>Data!H176</f>
        <v>1.7082474226804123</v>
      </c>
      <c r="J176" s="10">
        <f>Data!I176</f>
        <v>0.92317030014516976</v>
      </c>
      <c r="K176" s="10">
        <f t="shared" si="8"/>
        <v>0.92330695854801359</v>
      </c>
      <c r="L176" s="17">
        <f>Data!N176</f>
        <v>-0.93119982059137196</v>
      </c>
      <c r="M176" s="15">
        <f>Data!L176</f>
        <v>809.6</v>
      </c>
      <c r="N176" s="15">
        <f>Data!M176</f>
        <v>6.3967831432819366E-2</v>
      </c>
      <c r="O176" s="15">
        <f>Data!O176</f>
        <v>82.718254089355469</v>
      </c>
      <c r="P176" s="17">
        <f>Data!P176</f>
        <v>7.1999999999999998E-3</v>
      </c>
      <c r="Q176" s="17">
        <f>Data!R176</f>
        <v>-0.77</v>
      </c>
      <c r="R176" s="15">
        <f>Data!Q176</f>
        <v>-0.28000000000000003</v>
      </c>
      <c r="S176" s="15">
        <f t="shared" si="11"/>
        <v>0</v>
      </c>
    </row>
    <row r="177" spans="1:19" x14ac:dyDescent="0.25">
      <c r="A177" s="15">
        <f>Data!A177</f>
        <v>201711</v>
      </c>
      <c r="B177" s="15">
        <v>80450</v>
      </c>
      <c r="C177" s="15">
        <f>Data!F177</f>
        <v>20358</v>
      </c>
      <c r="D177" s="15">
        <f>IF(Data!D177="Mauritius", 1, 0)</f>
        <v>0</v>
      </c>
      <c r="E177" s="15">
        <f>IF(Regression!A177&gt;201500, 1, 0)</f>
        <v>1</v>
      </c>
      <c r="F177" s="15">
        <f t="shared" si="9"/>
        <v>0</v>
      </c>
      <c r="G177" s="11">
        <f>Data!J177</f>
        <v>1.7254582215439876E-3</v>
      </c>
      <c r="H177" s="11">
        <f t="shared" si="10"/>
        <v>0</v>
      </c>
      <c r="I177" s="10">
        <f>Data!H177</f>
        <v>1.834054054054054</v>
      </c>
      <c r="J177" s="10">
        <f>Data!I177</f>
        <v>0.87469271858987019</v>
      </c>
      <c r="K177" s="10">
        <f t="shared" si="8"/>
        <v>0.87634805649357828</v>
      </c>
      <c r="L177" s="17">
        <f>Data!N177</f>
        <v>0.31327487372772256</v>
      </c>
      <c r="M177" s="15">
        <f>Data!L177</f>
        <v>809.6</v>
      </c>
      <c r="N177" s="15">
        <f>Data!M177</f>
        <v>0.15569768846035004</v>
      </c>
      <c r="O177" s="15">
        <f>Data!O177</f>
        <v>92.596015930175781</v>
      </c>
      <c r="P177" s="17">
        <f>Data!P177</f>
        <v>7.2800000000000004E-2</v>
      </c>
      <c r="Q177" s="17">
        <f>Data!R177</f>
        <v>-0.77</v>
      </c>
      <c r="R177" s="15">
        <f>Data!Q177</f>
        <v>-0.28000000000000003</v>
      </c>
      <c r="S177" s="15">
        <f t="shared" si="11"/>
        <v>0</v>
      </c>
    </row>
    <row r="178" spans="1:19" x14ac:dyDescent="0.25">
      <c r="A178" s="15">
        <f>Data!A178</f>
        <v>201710</v>
      </c>
      <c r="B178" s="15">
        <v>80450</v>
      </c>
      <c r="C178" s="15">
        <f>Data!F178</f>
        <v>7784</v>
      </c>
      <c r="D178" s="15">
        <f>IF(Data!D178="Mauritius", 1, 0)</f>
        <v>0</v>
      </c>
      <c r="E178" s="15">
        <f>IF(Regression!A178&gt;201500, 1, 0)</f>
        <v>1</v>
      </c>
      <c r="F178" s="15">
        <f t="shared" si="9"/>
        <v>0</v>
      </c>
      <c r="G178" s="11">
        <f>Data!J178</f>
        <v>8.1257215309803047E-4</v>
      </c>
      <c r="H178" s="11">
        <f t="shared" si="10"/>
        <v>0</v>
      </c>
      <c r="I178" s="10">
        <f>Data!H178</f>
        <v>1.6519524617996604</v>
      </c>
      <c r="J178" s="10">
        <f>Data!I178</f>
        <v>0.91454321657353166</v>
      </c>
      <c r="K178" s="10">
        <f t="shared" si="8"/>
        <v>0.91514241479163949</v>
      </c>
      <c r="L178" s="17">
        <f>Data!N178</f>
        <v>-0.50485393088855357</v>
      </c>
      <c r="M178" s="15">
        <f>Data!L178</f>
        <v>809.6</v>
      </c>
      <c r="N178" s="15">
        <f>Data!M178</f>
        <v>0.12174336612224579</v>
      </c>
      <c r="O178" s="15">
        <f>Data!O178</f>
        <v>91.461570739746094</v>
      </c>
      <c r="P178" s="17">
        <f>Data!P178</f>
        <v>0.42899999999999999</v>
      </c>
      <c r="Q178" s="17">
        <f>Data!R178</f>
        <v>-0.77</v>
      </c>
      <c r="R178" s="15">
        <f>Data!Q178</f>
        <v>-0.28000000000000003</v>
      </c>
      <c r="S178" s="15">
        <f t="shared" si="11"/>
        <v>0</v>
      </c>
    </row>
    <row r="179" spans="1:19" x14ac:dyDescent="0.25">
      <c r="A179" s="15">
        <f>Data!A179</f>
        <v>201709</v>
      </c>
      <c r="B179" s="15">
        <v>80450</v>
      </c>
      <c r="C179" s="15">
        <f>Data!F179</f>
        <v>1067</v>
      </c>
      <c r="D179" s="15">
        <f>IF(Data!D179="Mauritius", 1, 0)</f>
        <v>0</v>
      </c>
      <c r="E179" s="15">
        <f>IF(Regression!A179&gt;201500, 1, 0)</f>
        <v>1</v>
      </c>
      <c r="F179" s="15">
        <f t="shared" si="9"/>
        <v>0</v>
      </c>
      <c r="G179" s="11">
        <f>Data!J179</f>
        <v>7.6103120798547841E-5</v>
      </c>
      <c r="H179" s="11">
        <f t="shared" si="10"/>
        <v>0</v>
      </c>
      <c r="I179" s="10">
        <f>Data!H179</f>
        <v>1.814625850340136</v>
      </c>
      <c r="J179" s="10">
        <f>Data!I179</f>
        <v>0.92498536861298142</v>
      </c>
      <c r="K179" s="10">
        <f t="shared" si="8"/>
        <v>0.92505307303002959</v>
      </c>
      <c r="L179" s="17">
        <f>Data!N179</f>
        <v>0.74184980724992322</v>
      </c>
      <c r="M179" s="15">
        <f>Data!L179</f>
        <v>809.6</v>
      </c>
      <c r="N179" s="15">
        <f>Data!M179</f>
        <v>0.28461575508117676</v>
      </c>
      <c r="O179" s="15">
        <f>Data!O179</f>
        <v>115.53444671630859</v>
      </c>
      <c r="P179" s="17">
        <f>Data!P179</f>
        <v>3.0499999999999999E-2</v>
      </c>
      <c r="Q179" s="17">
        <f>Data!R179</f>
        <v>-0.77</v>
      </c>
      <c r="R179" s="15">
        <f>Data!Q179</f>
        <v>-0.28000000000000003</v>
      </c>
      <c r="S179" s="15">
        <f t="shared" si="11"/>
        <v>0</v>
      </c>
    </row>
    <row r="180" spans="1:19" x14ac:dyDescent="0.25">
      <c r="A180" s="15">
        <f>Data!A180</f>
        <v>201708</v>
      </c>
      <c r="B180" s="15">
        <v>80450</v>
      </c>
      <c r="C180" s="15">
        <f>Data!F180</f>
        <v>216</v>
      </c>
      <c r="D180" s="15">
        <f>IF(Data!D180="Mauritius", 1, 0)</f>
        <v>0</v>
      </c>
      <c r="E180" s="15">
        <f>IF(Regression!A180&gt;201500, 1, 0)</f>
        <v>1</v>
      </c>
      <c r="F180" s="15">
        <f t="shared" si="9"/>
        <v>0</v>
      </c>
      <c r="G180" s="11">
        <f>Data!J180</f>
        <v>1.8360794196152955E-5</v>
      </c>
      <c r="H180" s="11">
        <f t="shared" si="10"/>
        <v>0</v>
      </c>
      <c r="I180" s="10">
        <f>Data!H180</f>
        <v>1.8</v>
      </c>
      <c r="J180" s="10">
        <f>Data!I180</f>
        <v>1.0499194233357909</v>
      </c>
      <c r="K180" s="10">
        <f t="shared" si="8"/>
        <v>1.0499331954108895</v>
      </c>
      <c r="L180" s="17">
        <f>Data!N180</f>
        <v>-0.48470871234986479</v>
      </c>
      <c r="M180" s="15">
        <f>Data!L180</f>
        <v>809.6</v>
      </c>
      <c r="N180" s="15">
        <f>Data!M180</f>
        <v>0.18158513307571411</v>
      </c>
      <c r="O180" s="15">
        <f>Data!O180</f>
        <v>138.5316162109375</v>
      </c>
      <c r="P180" s="17">
        <f>Data!P180</f>
        <v>1.9400000000000001E-2</v>
      </c>
      <c r="Q180" s="17">
        <f>Data!R180</f>
        <v>-0.77</v>
      </c>
      <c r="R180" s="15">
        <f>Data!Q180</f>
        <v>-0.28000000000000003</v>
      </c>
      <c r="S180" s="15">
        <f t="shared" si="11"/>
        <v>0</v>
      </c>
    </row>
    <row r="181" spans="1:19" x14ac:dyDescent="0.25">
      <c r="A181" s="15">
        <f>Data!A181</f>
        <v>201707</v>
      </c>
      <c r="B181" s="15">
        <v>80450</v>
      </c>
      <c r="C181" s="15">
        <f>Data!F181</f>
        <v>1496</v>
      </c>
      <c r="D181" s="15">
        <f>IF(Data!D181="Mauritius", 1, 0)</f>
        <v>0</v>
      </c>
      <c r="E181" s="15">
        <f>IF(Regression!A181&gt;201500, 1, 0)</f>
        <v>1</v>
      </c>
      <c r="F181" s="15">
        <f t="shared" si="9"/>
        <v>0</v>
      </c>
      <c r="G181" s="11">
        <f>Data!J181</f>
        <v>1.1407206228029595E-4</v>
      </c>
      <c r="H181" s="11">
        <f t="shared" si="10"/>
        <v>0</v>
      </c>
      <c r="I181" s="10">
        <f>Data!H181</f>
        <v>1.496</v>
      </c>
      <c r="J181" s="10">
        <f>Data!I181</f>
        <v>1.0374809840887353</v>
      </c>
      <c r="K181" s="10">
        <f t="shared" si="8"/>
        <v>1.0375332882984751</v>
      </c>
      <c r="L181" s="17">
        <f>Data!N181</f>
        <v>-0.36779915917753242</v>
      </c>
      <c r="M181" s="15">
        <f>Data!L181</f>
        <v>809.6</v>
      </c>
      <c r="N181" s="15">
        <f>Data!M181</f>
        <v>0.14306151866912842</v>
      </c>
      <c r="O181" s="15">
        <f>Data!O181</f>
        <v>102.81346130371094</v>
      </c>
      <c r="P181" s="17">
        <f>Data!P181</f>
        <v>1.21E-2</v>
      </c>
      <c r="Q181" s="17">
        <f>Data!R181</f>
        <v>-0.77</v>
      </c>
      <c r="R181" s="15">
        <f>Data!Q181</f>
        <v>-0.28000000000000003</v>
      </c>
      <c r="S181" s="15">
        <f t="shared" si="11"/>
        <v>0</v>
      </c>
    </row>
    <row r="182" spans="1:19" x14ac:dyDescent="0.25">
      <c r="A182" s="15">
        <f>Data!A182</f>
        <v>201706</v>
      </c>
      <c r="B182" s="15">
        <v>80450</v>
      </c>
      <c r="C182" s="15">
        <f>Data!F182</f>
        <v>31838</v>
      </c>
      <c r="D182" s="15">
        <f>IF(Data!D182="Mauritius", 1, 0)</f>
        <v>0</v>
      </c>
      <c r="E182" s="15">
        <f>IF(Regression!A182&gt;201500, 1, 0)</f>
        <v>1</v>
      </c>
      <c r="F182" s="15">
        <f t="shared" si="9"/>
        <v>0</v>
      </c>
      <c r="G182" s="11">
        <f>Data!J182</f>
        <v>1.5608570506341673E-3</v>
      </c>
      <c r="H182" s="11">
        <f t="shared" si="10"/>
        <v>0</v>
      </c>
      <c r="I182" s="10">
        <f>Data!H182</f>
        <v>0.96595873786407771</v>
      </c>
      <c r="J182" s="10">
        <f>Data!I182</f>
        <v>1.1674273421598591</v>
      </c>
      <c r="K182" s="10">
        <f t="shared" si="8"/>
        <v>1.1671128784683626</v>
      </c>
      <c r="L182" s="17">
        <f>Data!N182</f>
        <v>-0.51427740339270567</v>
      </c>
      <c r="M182" s="15">
        <f>Data!L182</f>
        <v>809.6</v>
      </c>
      <c r="N182" s="15">
        <f>Data!M182</f>
        <v>0.2270381897687912</v>
      </c>
      <c r="O182" s="15">
        <f>Data!O182</f>
        <v>126.78901672363281</v>
      </c>
      <c r="P182" s="17">
        <f>Data!P182</f>
        <v>0.91420000000000001</v>
      </c>
      <c r="Q182" s="17">
        <f>Data!R182</f>
        <v>-0.77</v>
      </c>
      <c r="R182" s="15">
        <f>Data!Q182</f>
        <v>-0.28000000000000003</v>
      </c>
      <c r="S182" s="15">
        <f t="shared" si="11"/>
        <v>0</v>
      </c>
    </row>
    <row r="183" spans="1:19" x14ac:dyDescent="0.25">
      <c r="A183" s="15">
        <f>Data!A183</f>
        <v>201705</v>
      </c>
      <c r="B183" s="15">
        <v>80450</v>
      </c>
      <c r="C183" s="15">
        <f>Data!F183</f>
        <v>7644</v>
      </c>
      <c r="D183" s="15">
        <f>IF(Data!D183="Mauritius", 1, 0)</f>
        <v>0</v>
      </c>
      <c r="E183" s="15">
        <f>IF(Regression!A183&gt;201500, 1, 0)</f>
        <v>1</v>
      </c>
      <c r="F183" s="15">
        <f t="shared" si="9"/>
        <v>0</v>
      </c>
      <c r="G183" s="11">
        <f>Data!J183</f>
        <v>2.8030710569712091E-4</v>
      </c>
      <c r="H183" s="11">
        <f t="shared" si="10"/>
        <v>0</v>
      </c>
      <c r="I183" s="10">
        <f>Data!H183</f>
        <v>1.0032812705079406</v>
      </c>
      <c r="J183" s="10">
        <f>Data!I183</f>
        <v>1.231242075344452</v>
      </c>
      <c r="K183" s="10">
        <f t="shared" si="8"/>
        <v>1.2311781763110357</v>
      </c>
      <c r="L183" s="17">
        <f>Data!N183</f>
        <v>-1.1209819501229537</v>
      </c>
      <c r="M183" s="15">
        <f>Data!L183</f>
        <v>809.6</v>
      </c>
      <c r="N183" s="15">
        <f>Data!M183</f>
        <v>9.1389112174510956E-2</v>
      </c>
      <c r="O183" s="15">
        <f>Data!O183</f>
        <v>102.57996368408203</v>
      </c>
      <c r="P183" s="17">
        <f>Data!P183</f>
        <v>0.91720000000000002</v>
      </c>
      <c r="Q183" s="17">
        <f>Data!R183</f>
        <v>-0.77</v>
      </c>
      <c r="R183" s="15">
        <f>Data!Q183</f>
        <v>-0.28000000000000003</v>
      </c>
      <c r="S183" s="15">
        <f t="shared" si="11"/>
        <v>0</v>
      </c>
    </row>
    <row r="184" spans="1:19" x14ac:dyDescent="0.25">
      <c r="A184" s="15">
        <f>Data!A184</f>
        <v>201704</v>
      </c>
      <c r="B184" s="15">
        <v>80450</v>
      </c>
      <c r="C184" s="15">
        <f>Data!F184</f>
        <v>31591</v>
      </c>
      <c r="D184" s="15">
        <f>IF(Data!D184="Mauritius", 1, 0)</f>
        <v>0</v>
      </c>
      <c r="E184" s="15">
        <f>IF(Regression!A184&gt;201500, 1, 0)</f>
        <v>1</v>
      </c>
      <c r="F184" s="15">
        <f t="shared" si="9"/>
        <v>0</v>
      </c>
      <c r="G184" s="11">
        <f>Data!J184</f>
        <v>1.448319839414426E-3</v>
      </c>
      <c r="H184" s="11">
        <f t="shared" si="10"/>
        <v>0</v>
      </c>
      <c r="I184" s="10">
        <f>Data!H184</f>
        <v>0.56535666988797018</v>
      </c>
      <c r="J184" s="10">
        <f>Data!I184</f>
        <v>1.2274468399878697</v>
      </c>
      <c r="K184" s="10">
        <f t="shared" si="8"/>
        <v>1.2264879216590328</v>
      </c>
      <c r="L184" s="17">
        <f>Data!N184</f>
        <v>-0.37617687518191656</v>
      </c>
      <c r="M184" s="15">
        <f>Data!L184</f>
        <v>809.6</v>
      </c>
      <c r="N184" s="15">
        <f>Data!M184</f>
        <v>0.14710518717765808</v>
      </c>
      <c r="O184" s="15">
        <f>Data!O184</f>
        <v>119.45992279052734</v>
      </c>
      <c r="P184" s="17">
        <f>Data!P184</f>
        <v>0.76519999999999999</v>
      </c>
      <c r="Q184" s="17">
        <f>Data!R184</f>
        <v>-0.77</v>
      </c>
      <c r="R184" s="15">
        <f>Data!Q184</f>
        <v>-0.28000000000000003</v>
      </c>
      <c r="S184" s="15">
        <f t="shared" si="11"/>
        <v>0</v>
      </c>
    </row>
    <row r="185" spans="1:19" x14ac:dyDescent="0.25">
      <c r="A185" s="15">
        <f>Data!A185</f>
        <v>201703</v>
      </c>
      <c r="B185" s="15">
        <v>80450</v>
      </c>
      <c r="C185" s="15">
        <f>Data!F185</f>
        <v>4292</v>
      </c>
      <c r="D185" s="15">
        <f>IF(Data!D185="Mauritius", 1, 0)</f>
        <v>0</v>
      </c>
      <c r="E185" s="15">
        <f>IF(Regression!A185&gt;201500, 1, 0)</f>
        <v>1</v>
      </c>
      <c r="F185" s="15">
        <f t="shared" si="9"/>
        <v>0</v>
      </c>
      <c r="G185" s="11">
        <f>Data!J185</f>
        <v>2.0624039615070464E-4</v>
      </c>
      <c r="H185" s="11">
        <f t="shared" si="10"/>
        <v>0</v>
      </c>
      <c r="I185" s="10">
        <f>Data!H185</f>
        <v>1.0030380930123861</v>
      </c>
      <c r="J185" s="10">
        <f>Data!I185</f>
        <v>1.1145195072428329</v>
      </c>
      <c r="K185" s="10">
        <f t="shared" si="8"/>
        <v>1.1144965152717985</v>
      </c>
      <c r="L185" s="17">
        <f>Data!N185</f>
        <v>-0.12278765544205958</v>
      </c>
      <c r="M185" s="15">
        <f>Data!L185</f>
        <v>809.6</v>
      </c>
      <c r="N185" s="15">
        <f>Data!M185</f>
        <v>0.14420303702354431</v>
      </c>
      <c r="O185" s="15">
        <f>Data!O185</f>
        <v>96.635879516601563</v>
      </c>
      <c r="P185" s="17">
        <f>Data!P185</f>
        <v>0.24759999999999999</v>
      </c>
      <c r="Q185" s="17">
        <f>Data!R185</f>
        <v>-0.77</v>
      </c>
      <c r="R185" s="15">
        <f>Data!Q185</f>
        <v>-0.28000000000000003</v>
      </c>
      <c r="S185" s="15">
        <f t="shared" si="11"/>
        <v>0</v>
      </c>
    </row>
    <row r="186" spans="1:19" x14ac:dyDescent="0.25">
      <c r="A186" s="15">
        <f>Data!A186</f>
        <v>201702</v>
      </c>
      <c r="B186" s="15">
        <v>80450</v>
      </c>
      <c r="C186" s="15">
        <f>Data!F186</f>
        <v>11883</v>
      </c>
      <c r="D186" s="15">
        <f>IF(Data!D186="Mauritius", 1, 0)</f>
        <v>0</v>
      </c>
      <c r="E186" s="15">
        <f>IF(Regression!A186&gt;201500, 1, 0)</f>
        <v>1</v>
      </c>
      <c r="F186" s="15">
        <f t="shared" si="9"/>
        <v>0</v>
      </c>
      <c r="G186" s="11">
        <f>Data!J186</f>
        <v>1.1401269020824515E-3</v>
      </c>
      <c r="H186" s="11">
        <f t="shared" si="10"/>
        <v>0</v>
      </c>
      <c r="I186" s="10">
        <f>Data!H186</f>
        <v>0.51890829694323148</v>
      </c>
      <c r="J186" s="10">
        <f>Data!I186</f>
        <v>0.99736909518903172</v>
      </c>
      <c r="K186" s="10">
        <f t="shared" si="8"/>
        <v>0.99682358916135982</v>
      </c>
      <c r="L186" s="17">
        <f>Data!N186</f>
        <v>-0.45747978614086471</v>
      </c>
      <c r="M186" s="15">
        <f>Data!L186</f>
        <v>809.6</v>
      </c>
      <c r="N186" s="15">
        <f>Data!M186</f>
        <v>0.16521643102169037</v>
      </c>
      <c r="O186" s="15">
        <f>Data!O186</f>
        <v>114.20635986328125</v>
      </c>
      <c r="P186" s="17">
        <f>Data!P186</f>
        <v>0.3765</v>
      </c>
      <c r="Q186" s="17">
        <f>Data!R186</f>
        <v>-0.77</v>
      </c>
      <c r="R186" s="15">
        <f>Data!Q186</f>
        <v>-0.28000000000000003</v>
      </c>
      <c r="S186" s="15">
        <f t="shared" si="11"/>
        <v>0</v>
      </c>
    </row>
    <row r="187" spans="1:19" x14ac:dyDescent="0.25">
      <c r="A187" s="15">
        <f>Data!A187</f>
        <v>201701</v>
      </c>
      <c r="B187" s="15">
        <v>80450</v>
      </c>
      <c r="C187" s="15">
        <f>Data!F187</f>
        <v>1607</v>
      </c>
      <c r="D187" s="15">
        <f>IF(Data!D187="Mauritius", 1, 0)</f>
        <v>0</v>
      </c>
      <c r="E187" s="15">
        <f>IF(Regression!A187&gt;201500, 1, 0)</f>
        <v>1</v>
      </c>
      <c r="F187" s="15">
        <f t="shared" si="9"/>
        <v>0</v>
      </c>
      <c r="G187" s="11">
        <f>Data!J187</f>
        <v>1.3483621595039436E-4</v>
      </c>
      <c r="H187" s="11">
        <f t="shared" si="10"/>
        <v>0</v>
      </c>
      <c r="I187" s="10">
        <f>Data!H187</f>
        <v>2.2257617728531858</v>
      </c>
      <c r="J187" s="10">
        <f>Data!I187</f>
        <v>0.94221639342396024</v>
      </c>
      <c r="K187" s="10">
        <f t="shared" si="8"/>
        <v>0.94238946182592309</v>
      </c>
      <c r="L187" s="17">
        <f>Data!N187</f>
        <v>-0.17480363944920638</v>
      </c>
      <c r="M187" s="15">
        <f>Data!L187</f>
        <v>809.6</v>
      </c>
      <c r="N187" s="15">
        <f>Data!M187</f>
        <v>0.18233387172222137</v>
      </c>
      <c r="O187" s="15">
        <f>Data!O187</f>
        <v>105.20123291015625</v>
      </c>
      <c r="P187" s="17">
        <f>Data!P187</f>
        <v>9.4000000000000004E-3</v>
      </c>
      <c r="Q187" s="17">
        <f>Data!R187</f>
        <v>-0.77</v>
      </c>
      <c r="R187" s="15">
        <f>Data!Q187</f>
        <v>-0.28000000000000003</v>
      </c>
      <c r="S187" s="15">
        <f t="shared" si="11"/>
        <v>0</v>
      </c>
    </row>
    <row r="188" spans="1:19" x14ac:dyDescent="0.25">
      <c r="A188" s="15">
        <f>Data!A188</f>
        <v>201612</v>
      </c>
      <c r="B188" s="15">
        <v>80450</v>
      </c>
      <c r="C188" s="15">
        <f>Data!F188</f>
        <v>23430</v>
      </c>
      <c r="D188" s="15">
        <f>IF(Data!D188="Mauritius", 1, 0)</f>
        <v>0</v>
      </c>
      <c r="E188" s="15">
        <f>IF(Regression!A188&gt;201500, 1, 0)</f>
        <v>1</v>
      </c>
      <c r="F188" s="15">
        <f t="shared" si="9"/>
        <v>0</v>
      </c>
      <c r="G188" s="11">
        <f>Data!J188</f>
        <v>1.7198171899655164E-3</v>
      </c>
      <c r="H188" s="11">
        <f t="shared" si="10"/>
        <v>0</v>
      </c>
      <c r="I188" s="10">
        <f>Data!H188</f>
        <v>0.98313192346424971</v>
      </c>
      <c r="J188" s="10">
        <f>Data!I188</f>
        <v>0.82419783350388742</v>
      </c>
      <c r="K188" s="10">
        <f t="shared" si="8"/>
        <v>0.8244711710838728</v>
      </c>
      <c r="L188" s="17">
        <f>Data!N188</f>
        <v>-0.60576246953035051</v>
      </c>
      <c r="M188" s="15">
        <f>Data!L188</f>
        <v>748.3</v>
      </c>
      <c r="N188" s="15">
        <f>Data!M188</f>
        <v>0.16102194786071777</v>
      </c>
      <c r="O188" s="15">
        <f>Data!O188</f>
        <v>102.18046569824219</v>
      </c>
      <c r="P188" s="17">
        <f>Data!P188</f>
        <v>0.2356</v>
      </c>
      <c r="Q188" s="17">
        <f>Data!R188</f>
        <v>-0.96</v>
      </c>
      <c r="R188" s="15">
        <f>Data!Q188</f>
        <v>-0.15</v>
      </c>
      <c r="S188" s="15">
        <f t="shared" si="11"/>
        <v>0</v>
      </c>
    </row>
    <row r="189" spans="1:19" x14ac:dyDescent="0.25">
      <c r="A189" s="15">
        <f>Data!A189</f>
        <v>201611</v>
      </c>
      <c r="B189" s="15">
        <v>80450</v>
      </c>
      <c r="C189" s="15">
        <f>Data!F189</f>
        <v>60255</v>
      </c>
      <c r="D189" s="15">
        <f>IF(Data!D189="Mauritius", 1, 0)</f>
        <v>0</v>
      </c>
      <c r="E189" s="15">
        <f>IF(Regression!A189&gt;201500, 1, 0)</f>
        <v>1</v>
      </c>
      <c r="F189" s="15">
        <f t="shared" si="9"/>
        <v>0</v>
      </c>
      <c r="G189" s="11">
        <f>Data!J189</f>
        <v>5.3154570013888734E-3</v>
      </c>
      <c r="H189" s="11">
        <f t="shared" si="10"/>
        <v>0</v>
      </c>
      <c r="I189" s="10">
        <f>Data!H189</f>
        <v>0.81968439668072368</v>
      </c>
      <c r="J189" s="10">
        <f>Data!I189</f>
        <v>0.89659511132252079</v>
      </c>
      <c r="K189" s="10">
        <f t="shared" si="8"/>
        <v>0.89618629572589614</v>
      </c>
      <c r="L189" s="17">
        <f>Data!N189</f>
        <v>-0.63933313334107333</v>
      </c>
      <c r="M189" s="15">
        <f>Data!L189</f>
        <v>748.3</v>
      </c>
      <c r="N189" s="15">
        <f>Data!M189</f>
        <v>0.1230706125497818</v>
      </c>
      <c r="O189" s="15">
        <f>Data!O189</f>
        <v>82.918754577636719</v>
      </c>
      <c r="P189" s="17">
        <f>Data!P189</f>
        <v>0.33829999999999999</v>
      </c>
      <c r="Q189" s="17">
        <f>Data!R189</f>
        <v>-0.96</v>
      </c>
      <c r="R189" s="15">
        <f>Data!Q189</f>
        <v>-0.15</v>
      </c>
      <c r="S189" s="15">
        <f t="shared" si="11"/>
        <v>0</v>
      </c>
    </row>
    <row r="190" spans="1:19" x14ac:dyDescent="0.25">
      <c r="A190" s="15">
        <f>Data!A190</f>
        <v>201610</v>
      </c>
      <c r="B190" s="15">
        <v>80450</v>
      </c>
      <c r="C190" s="15">
        <f>Data!F190</f>
        <v>3518</v>
      </c>
      <c r="D190" s="15">
        <f>IF(Data!D190="Mauritius", 1, 0)</f>
        <v>0</v>
      </c>
      <c r="E190" s="15">
        <f>IF(Regression!A190&gt;201500, 1, 0)</f>
        <v>1</v>
      </c>
      <c r="F190" s="15">
        <f t="shared" si="9"/>
        <v>0</v>
      </c>
      <c r="G190" s="11">
        <f>Data!J190</f>
        <v>2.408181409578812E-4</v>
      </c>
      <c r="H190" s="11">
        <f t="shared" si="10"/>
        <v>0</v>
      </c>
      <c r="I190" s="10">
        <f>Data!H190</f>
        <v>1.9730790802019069</v>
      </c>
      <c r="J190" s="10">
        <f>Data!I190</f>
        <v>0.95</v>
      </c>
      <c r="K190" s="10">
        <f t="shared" si="8"/>
        <v>0.95024637600214701</v>
      </c>
      <c r="L190" s="17">
        <f>Data!N190</f>
        <v>-0.67013768677643182</v>
      </c>
      <c r="M190" s="15">
        <f>Data!L190</f>
        <v>748.3</v>
      </c>
      <c r="N190" s="15">
        <f>Data!M190</f>
        <v>0.16687935590744019</v>
      </c>
      <c r="O190" s="15">
        <f>Data!O190</f>
        <v>85.747787475585938</v>
      </c>
      <c r="P190" s="17">
        <f>Data!P190</f>
        <v>0.9617</v>
      </c>
      <c r="Q190" s="17">
        <f>Data!R190</f>
        <v>-0.96</v>
      </c>
      <c r="R190" s="15">
        <f>Data!Q190</f>
        <v>-0.15</v>
      </c>
      <c r="S190" s="15">
        <f t="shared" si="11"/>
        <v>0</v>
      </c>
    </row>
    <row r="191" spans="1:19" x14ac:dyDescent="0.25">
      <c r="A191" s="15">
        <f>Data!A191</f>
        <v>201609</v>
      </c>
      <c r="B191" s="15">
        <v>80450</v>
      </c>
      <c r="C191" s="15">
        <f>Data!F191</f>
        <v>31652</v>
      </c>
      <c r="D191" s="15">
        <f>IF(Data!D191="Mauritius", 1, 0)</f>
        <v>0</v>
      </c>
      <c r="E191" s="15">
        <f>IF(Regression!A191&gt;201500, 1, 0)</f>
        <v>1</v>
      </c>
      <c r="F191" s="15">
        <f t="shared" si="9"/>
        <v>0</v>
      </c>
      <c r="G191" s="11">
        <f>Data!J191</f>
        <v>2.181513622536665E-3</v>
      </c>
      <c r="H191" s="11">
        <f t="shared" si="10"/>
        <v>0</v>
      </c>
      <c r="I191" s="10">
        <f>Data!H191</f>
        <v>0.84791984783948138</v>
      </c>
      <c r="J191" s="10">
        <f>Data!I191</f>
        <v>0.98193344868140853</v>
      </c>
      <c r="K191" s="10">
        <f t="shared" si="8"/>
        <v>0.98164109618556661</v>
      </c>
      <c r="L191" s="17">
        <f>Data!N191</f>
        <v>-0.65147449338882091</v>
      </c>
      <c r="M191" s="15">
        <f>Data!L191</f>
        <v>748.3</v>
      </c>
      <c r="N191" s="15">
        <f>Data!M191</f>
        <v>0.17644686996936798</v>
      </c>
      <c r="O191" s="15">
        <f>Data!O191</f>
        <v>104.54522705078125</v>
      </c>
      <c r="P191" s="17">
        <f>Data!P191</f>
        <v>1</v>
      </c>
      <c r="Q191" s="17">
        <f>Data!R191</f>
        <v>-0.96</v>
      </c>
      <c r="R191" s="15">
        <f>Data!Q191</f>
        <v>-0.15</v>
      </c>
      <c r="S191" s="15">
        <f t="shared" si="11"/>
        <v>0</v>
      </c>
    </row>
    <row r="192" spans="1:19" x14ac:dyDescent="0.25">
      <c r="A192" s="15">
        <f>Data!A192</f>
        <v>201608</v>
      </c>
      <c r="B192" s="15">
        <v>80450</v>
      </c>
      <c r="C192" s="15">
        <f>Data!F192</f>
        <v>41820</v>
      </c>
      <c r="D192" s="15">
        <f>IF(Data!D192="Mauritius", 1, 0)</f>
        <v>0</v>
      </c>
      <c r="E192" s="15">
        <f>IF(Regression!A192&gt;201500, 1, 0)</f>
        <v>1</v>
      </c>
      <c r="F192" s="15">
        <f t="shared" si="9"/>
        <v>0</v>
      </c>
      <c r="G192" s="11">
        <f>Data!J192</f>
        <v>2.7963409257132175E-3</v>
      </c>
      <c r="H192" s="11">
        <f t="shared" si="10"/>
        <v>0</v>
      </c>
      <c r="I192" s="10">
        <f>Data!H192</f>
        <v>0.94146780729401169</v>
      </c>
      <c r="J192" s="10">
        <f>Data!I192</f>
        <v>1.0173587455254505</v>
      </c>
      <c r="K192" s="10">
        <f t="shared" si="8"/>
        <v>1.0171465285889831</v>
      </c>
      <c r="L192" s="17">
        <f>Data!N192</f>
        <v>-0.51288155261608848</v>
      </c>
      <c r="M192" s="15">
        <f>Data!L192</f>
        <v>748.3</v>
      </c>
      <c r="N192" s="15">
        <f>Data!M192</f>
        <v>0.12921231985092163</v>
      </c>
      <c r="O192" s="15">
        <f>Data!O192</f>
        <v>98.738487243652344</v>
      </c>
      <c r="P192" s="17">
        <f>Data!P192</f>
        <v>1</v>
      </c>
      <c r="Q192" s="17">
        <f>Data!R192</f>
        <v>-0.96</v>
      </c>
      <c r="R192" s="15">
        <f>Data!Q192</f>
        <v>-0.15</v>
      </c>
      <c r="S192" s="15">
        <f t="shared" si="11"/>
        <v>0</v>
      </c>
    </row>
    <row r="193" spans="1:19" x14ac:dyDescent="0.25">
      <c r="A193" s="15">
        <f>Data!A193</f>
        <v>201607</v>
      </c>
      <c r="B193" s="15">
        <v>80450</v>
      </c>
      <c r="C193" s="15">
        <f>Data!F193</f>
        <v>17238</v>
      </c>
      <c r="D193" s="15">
        <f>IF(Data!D193="Mauritius", 1, 0)</f>
        <v>0</v>
      </c>
      <c r="E193" s="15">
        <f>IF(Regression!A193&gt;201500, 1, 0)</f>
        <v>1</v>
      </c>
      <c r="F193" s="15">
        <f t="shared" si="9"/>
        <v>0</v>
      </c>
      <c r="G193" s="11">
        <f>Data!J193</f>
        <v>1.17135930682275E-3</v>
      </c>
      <c r="H193" s="11">
        <f t="shared" si="10"/>
        <v>0</v>
      </c>
      <c r="I193" s="10">
        <f>Data!H193</f>
        <v>1.6417142857142857</v>
      </c>
      <c r="J193" s="10">
        <f>Data!I193</f>
        <v>1.0635519173547554</v>
      </c>
      <c r="K193" s="10">
        <f t="shared" si="8"/>
        <v>1.0642291532257879</v>
      </c>
      <c r="L193" s="17">
        <f>Data!N193</f>
        <v>-0.66976600538355602</v>
      </c>
      <c r="M193" s="15">
        <f>Data!L193</f>
        <v>748.3</v>
      </c>
      <c r="N193" s="15">
        <f>Data!M193</f>
        <v>0.27500858902931213</v>
      </c>
      <c r="O193" s="15">
        <f>Data!O193</f>
        <v>114.61045074462891</v>
      </c>
      <c r="P193" s="17">
        <f>Data!P193</f>
        <v>6.2600000000000003E-2</v>
      </c>
      <c r="Q193" s="17">
        <f>Data!R193</f>
        <v>-0.96</v>
      </c>
      <c r="R193" s="15">
        <f>Data!Q193</f>
        <v>-0.15</v>
      </c>
      <c r="S193" s="15">
        <f t="shared" si="11"/>
        <v>0</v>
      </c>
    </row>
    <row r="194" spans="1:19" x14ac:dyDescent="0.25">
      <c r="A194" s="15">
        <f>Data!A194</f>
        <v>201606</v>
      </c>
      <c r="B194" s="15">
        <v>80450</v>
      </c>
      <c r="C194" s="15">
        <f>Data!F194</f>
        <v>3721</v>
      </c>
      <c r="D194" s="15">
        <f>IF(Data!D194="Mauritius", 1, 0)</f>
        <v>0</v>
      </c>
      <c r="E194" s="15">
        <f>IF(Regression!A194&gt;201500, 1, 0)</f>
        <v>1</v>
      </c>
      <c r="F194" s="15">
        <f t="shared" si="9"/>
        <v>0</v>
      </c>
      <c r="G194" s="11">
        <f>Data!J194</f>
        <v>1.7744857091190157E-4</v>
      </c>
      <c r="H194" s="11">
        <f t="shared" si="10"/>
        <v>0</v>
      </c>
      <c r="I194" s="10">
        <f>Data!H194</f>
        <v>0.34880014998125236</v>
      </c>
      <c r="J194" s="10">
        <f>Data!I194</f>
        <v>1.1988154001637565</v>
      </c>
      <c r="K194" s="10">
        <f t="shared" ref="K194:K233" si="12">(I194*G194)+(J194*(1-G194))</f>
        <v>1.1986645661723583</v>
      </c>
      <c r="L194" s="17">
        <f>Data!N194</f>
        <v>-0.6965422549921696</v>
      </c>
      <c r="M194" s="15">
        <f>Data!L194</f>
        <v>748.3</v>
      </c>
      <c r="N194" s="15">
        <f>Data!M194</f>
        <v>0.10855713486671448</v>
      </c>
      <c r="O194" s="15">
        <f>Data!O194</f>
        <v>90.168128967285156</v>
      </c>
      <c r="P194" s="17">
        <f>Data!P194</f>
        <v>1</v>
      </c>
      <c r="Q194" s="17">
        <f>Data!R194</f>
        <v>-0.96</v>
      </c>
      <c r="R194" s="15">
        <f>Data!Q194</f>
        <v>-0.15</v>
      </c>
      <c r="S194" s="15">
        <f t="shared" si="11"/>
        <v>0</v>
      </c>
    </row>
    <row r="195" spans="1:19" x14ac:dyDescent="0.25">
      <c r="A195" s="15">
        <f>Data!A195</f>
        <v>201605</v>
      </c>
      <c r="B195" s="15">
        <v>80450</v>
      </c>
      <c r="C195" s="15">
        <f>Data!F195</f>
        <v>8428</v>
      </c>
      <c r="D195" s="15">
        <f>IF(Data!D195="Mauritius", 1, 0)</f>
        <v>0</v>
      </c>
      <c r="E195" s="15">
        <f>IF(Regression!A195&gt;201500, 1, 0)</f>
        <v>1</v>
      </c>
      <c r="F195" s="15">
        <f t="shared" ref="F195:F233" si="13">D195*E195</f>
        <v>0</v>
      </c>
      <c r="G195" s="11">
        <f>Data!J195</f>
        <v>2.6616363802364214E-4</v>
      </c>
      <c r="H195" s="11">
        <f t="shared" ref="H195:H233" si="14">F195*G195</f>
        <v>0</v>
      </c>
      <c r="I195" s="10">
        <f>Data!H195</f>
        <v>0.455026455026455</v>
      </c>
      <c r="J195" s="10">
        <f>Data!I195</f>
        <v>1.2290629015399883</v>
      </c>
      <c r="K195" s="10">
        <f t="shared" si="12"/>
        <v>1.2288568811834213</v>
      </c>
      <c r="L195" s="17">
        <f>Data!N195</f>
        <v>-0.82640621037856243</v>
      </c>
      <c r="M195" s="15">
        <f>Data!L195</f>
        <v>748.3</v>
      </c>
      <c r="N195" s="15">
        <f>Data!M195</f>
        <v>8.1941090524196625E-2</v>
      </c>
      <c r="O195" s="15">
        <f>Data!O195</f>
        <v>88.332420349121094</v>
      </c>
      <c r="P195" s="17">
        <f>Data!P195</f>
        <v>1</v>
      </c>
      <c r="Q195" s="17">
        <f>Data!R195</f>
        <v>-0.96</v>
      </c>
      <c r="R195" s="15">
        <f>Data!Q195</f>
        <v>-0.15</v>
      </c>
      <c r="S195" s="15">
        <f t="shared" ref="S195:S233" si="15">P195*F195</f>
        <v>0</v>
      </c>
    </row>
    <row r="196" spans="1:19" x14ac:dyDescent="0.25">
      <c r="A196" s="15">
        <f>Data!A196</f>
        <v>201604</v>
      </c>
      <c r="B196" s="15">
        <v>80450</v>
      </c>
      <c r="C196" s="15">
        <f>Data!F196</f>
        <v>6890</v>
      </c>
      <c r="D196" s="15">
        <f>IF(Data!D196="Mauritius", 1, 0)</f>
        <v>0</v>
      </c>
      <c r="E196" s="15">
        <f>IF(Regression!A196&gt;201500, 1, 0)</f>
        <v>1</v>
      </c>
      <c r="F196" s="15">
        <f t="shared" si="13"/>
        <v>0</v>
      </c>
      <c r="G196" s="11">
        <f>Data!J196</f>
        <v>2.5068072186297183E-4</v>
      </c>
      <c r="H196" s="11">
        <f t="shared" si="14"/>
        <v>0</v>
      </c>
      <c r="I196" s="10">
        <f>Data!H196</f>
        <v>0.46494365341790944</v>
      </c>
      <c r="J196" s="10">
        <f>Data!I196</f>
        <v>1.1000000000000001</v>
      </c>
      <c r="K196" s="10">
        <f t="shared" si="12"/>
        <v>1.0998408036166152</v>
      </c>
      <c r="L196" s="17">
        <f>Data!N196</f>
        <v>-1.0324690947395918</v>
      </c>
      <c r="M196" s="15">
        <f>Data!L196</f>
        <v>748.3</v>
      </c>
      <c r="N196" s="15">
        <f>Data!M196</f>
        <v>0.13477715849876404</v>
      </c>
      <c r="O196" s="15">
        <f>Data!O196</f>
        <v>85.221450805664063</v>
      </c>
      <c r="P196" s="17">
        <f>Data!P196</f>
        <v>0.95760000000000001</v>
      </c>
      <c r="Q196" s="17">
        <f>Data!R196</f>
        <v>-0.96</v>
      </c>
      <c r="R196" s="15">
        <f>Data!Q196</f>
        <v>-0.15</v>
      </c>
      <c r="S196" s="15">
        <f t="shared" si="15"/>
        <v>0</v>
      </c>
    </row>
    <row r="197" spans="1:19" x14ac:dyDescent="0.25">
      <c r="A197" s="15">
        <f>Data!A197</f>
        <v>201603</v>
      </c>
      <c r="B197" s="15">
        <v>80450</v>
      </c>
      <c r="C197" s="15">
        <f>Data!F197</f>
        <v>60340</v>
      </c>
      <c r="D197" s="15">
        <f>IF(Data!D197="Mauritius", 1, 0)</f>
        <v>0</v>
      </c>
      <c r="E197" s="15">
        <f>IF(Regression!A197&gt;201500, 1, 0)</f>
        <v>1</v>
      </c>
      <c r="F197" s="15">
        <f t="shared" si="13"/>
        <v>0</v>
      </c>
      <c r="G197" s="11">
        <f>Data!J197</f>
        <v>3.1815712258571787E-3</v>
      </c>
      <c r="H197" s="11">
        <f t="shared" si="14"/>
        <v>0</v>
      </c>
      <c r="I197" s="10">
        <f>Data!H197</f>
        <v>0.69292604501607713</v>
      </c>
      <c r="J197" s="10">
        <f>Data!I197</f>
        <v>1.0282563115420349</v>
      </c>
      <c r="K197" s="10">
        <f t="shared" si="12"/>
        <v>1.0271894344148969</v>
      </c>
      <c r="L197" s="17">
        <f>Data!N197</f>
        <v>-0.30053553358021079</v>
      </c>
      <c r="M197" s="15">
        <f>Data!L197</f>
        <v>748.3</v>
      </c>
      <c r="N197" s="15">
        <f>Data!M197</f>
        <v>0.15390883386135101</v>
      </c>
      <c r="O197" s="15">
        <f>Data!O197</f>
        <v>109.72029113769531</v>
      </c>
      <c r="P197" s="17">
        <f>Data!P197</f>
        <v>0.98260000000000003</v>
      </c>
      <c r="Q197" s="17">
        <f>Data!R197</f>
        <v>-0.96</v>
      </c>
      <c r="R197" s="15">
        <f>Data!Q197</f>
        <v>-0.15</v>
      </c>
      <c r="S197" s="15">
        <f t="shared" si="15"/>
        <v>0</v>
      </c>
    </row>
    <row r="198" spans="1:19" x14ac:dyDescent="0.25">
      <c r="A198" s="15">
        <f>Data!A198</f>
        <v>201602</v>
      </c>
      <c r="B198" s="15">
        <v>80450</v>
      </c>
      <c r="C198" s="15">
        <f>Data!F198</f>
        <v>6278</v>
      </c>
      <c r="D198" s="15">
        <f>IF(Data!D198="Mauritius", 1, 0)</f>
        <v>0</v>
      </c>
      <c r="E198" s="15">
        <f>IF(Regression!A198&gt;201500, 1, 0)</f>
        <v>1</v>
      </c>
      <c r="F198" s="15">
        <f t="shared" si="13"/>
        <v>0</v>
      </c>
      <c r="G198" s="11">
        <f>Data!J198</f>
        <v>6.0838456261481705E-4</v>
      </c>
      <c r="H198" s="11">
        <f t="shared" si="14"/>
        <v>0</v>
      </c>
      <c r="I198" s="10">
        <f>Data!H198</f>
        <v>0.28339276847379585</v>
      </c>
      <c r="J198" s="10">
        <f>Data!I198</f>
        <v>0.88934902787344261</v>
      </c>
      <c r="K198" s="10">
        <f t="shared" si="12"/>
        <v>0.88898037343960401</v>
      </c>
      <c r="L198" s="17">
        <f>Data!N198</f>
        <v>-0.4436407909162422</v>
      </c>
      <c r="M198" s="15">
        <f>Data!L198</f>
        <v>748.3</v>
      </c>
      <c r="N198" s="15">
        <f>Data!M198</f>
        <v>8.3178393542766571E-2</v>
      </c>
      <c r="O198" s="15">
        <f>Data!O198</f>
        <v>103.74964904785156</v>
      </c>
      <c r="P198" s="17">
        <f>Data!P198</f>
        <v>0.87519999999999998</v>
      </c>
      <c r="Q198" s="17">
        <f>Data!R198</f>
        <v>-0.96</v>
      </c>
      <c r="R198" s="15">
        <f>Data!Q198</f>
        <v>-0.15</v>
      </c>
      <c r="S198" s="15">
        <f t="shared" si="15"/>
        <v>0</v>
      </c>
    </row>
    <row r="199" spans="1:19" x14ac:dyDescent="0.25">
      <c r="A199" s="15">
        <f>Data!A199</f>
        <v>201601</v>
      </c>
      <c r="B199" s="15">
        <v>80450</v>
      </c>
      <c r="C199" s="15">
        <f>Data!F199</f>
        <v>2772</v>
      </c>
      <c r="D199" s="15">
        <f>IF(Data!D199="Mauritius", 1, 0)</f>
        <v>0</v>
      </c>
      <c r="E199" s="15">
        <f>IF(Regression!A199&gt;201500, 1, 0)</f>
        <v>1</v>
      </c>
      <c r="F199" s="15">
        <f t="shared" si="13"/>
        <v>0</v>
      </c>
      <c r="G199" s="11">
        <f>Data!J199</f>
        <v>2.8475465489625974E-4</v>
      </c>
      <c r="H199" s="11">
        <f t="shared" si="14"/>
        <v>0</v>
      </c>
      <c r="I199" s="10">
        <f>Data!H199</f>
        <v>2.0904977375565612</v>
      </c>
      <c r="J199" s="10">
        <f>Data!I199</f>
        <v>0.86717880066005637</v>
      </c>
      <c r="K199" s="10">
        <f t="shared" si="12"/>
        <v>0.86752714642176032</v>
      </c>
      <c r="L199" s="17">
        <f>Data!N199</f>
        <v>0.26619041414993783</v>
      </c>
      <c r="M199" s="15">
        <f>Data!L199</f>
        <v>748.3</v>
      </c>
      <c r="N199" s="15">
        <f>Data!M199</f>
        <v>0.22246940433979034</v>
      </c>
      <c r="O199" s="15">
        <f>Data!O199</f>
        <v>118.21114349365234</v>
      </c>
      <c r="P199" s="17">
        <f>Data!P199</f>
        <v>0.1159</v>
      </c>
      <c r="Q199" s="17">
        <f>Data!R199</f>
        <v>-0.96</v>
      </c>
      <c r="R199" s="15">
        <f>Data!Q199</f>
        <v>-0.15</v>
      </c>
      <c r="S199" s="15">
        <f t="shared" si="15"/>
        <v>0</v>
      </c>
    </row>
    <row r="200" spans="1:19" x14ac:dyDescent="0.25">
      <c r="A200" s="15">
        <f>Data!A200</f>
        <v>201512</v>
      </c>
      <c r="B200" s="15">
        <v>80450</v>
      </c>
      <c r="C200" s="15">
        <f>Data!F200</f>
        <v>13349</v>
      </c>
      <c r="D200" s="15">
        <f>IF(Data!D200="Mauritius", 1, 0)</f>
        <v>0</v>
      </c>
      <c r="E200" s="15">
        <f>IF(Regression!A200&gt;201500, 1, 0)</f>
        <v>1</v>
      </c>
      <c r="F200" s="15">
        <f t="shared" si="13"/>
        <v>0</v>
      </c>
      <c r="G200" s="11">
        <f>Data!J200</f>
        <v>1.3373367613127879E-3</v>
      </c>
      <c r="H200" s="11">
        <f t="shared" si="14"/>
        <v>0</v>
      </c>
      <c r="I200" s="10">
        <f>Data!H200</f>
        <v>1.6044471153846154</v>
      </c>
      <c r="J200" s="10">
        <f>Data!I200</f>
        <v>0.94270499045941025</v>
      </c>
      <c r="K200" s="10">
        <f t="shared" si="12"/>
        <v>0.94358996252958205</v>
      </c>
      <c r="L200" s="17">
        <f>Data!N200</f>
        <v>0.135736860657071</v>
      </c>
      <c r="M200" s="15">
        <f>Data!L200</f>
        <v>749.3</v>
      </c>
      <c r="N200" s="15">
        <f>Data!M200</f>
        <v>0.26559117436408997</v>
      </c>
      <c r="O200" s="15">
        <f>Data!O200</f>
        <v>148.23687744140625</v>
      </c>
      <c r="P200" s="17">
        <f>Data!P200</f>
        <v>0.1721</v>
      </c>
      <c r="Q200" s="17">
        <f>Data!R200</f>
        <v>-0.95</v>
      </c>
      <c r="R200" s="15">
        <f>Data!Q200</f>
        <v>-0.22</v>
      </c>
      <c r="S200" s="15">
        <f t="shared" si="15"/>
        <v>0</v>
      </c>
    </row>
    <row r="201" spans="1:19" x14ac:dyDescent="0.25">
      <c r="A201" s="15">
        <f>Data!A201</f>
        <v>201511</v>
      </c>
      <c r="B201" s="15">
        <v>80450</v>
      </c>
      <c r="C201" s="15">
        <f>Data!F201</f>
        <v>61307</v>
      </c>
      <c r="D201" s="15">
        <f>IF(Data!D201="Mauritius", 1, 0)</f>
        <v>0</v>
      </c>
      <c r="E201" s="15">
        <f>IF(Regression!A201&gt;201500, 1, 0)</f>
        <v>1</v>
      </c>
      <c r="F201" s="15">
        <f t="shared" si="13"/>
        <v>0</v>
      </c>
      <c r="G201" s="11">
        <f>Data!J201</f>
        <v>5.1811518540532224E-3</v>
      </c>
      <c r="H201" s="11">
        <f t="shared" si="14"/>
        <v>0</v>
      </c>
      <c r="I201" s="10">
        <f>Data!H201</f>
        <v>0.83184531886024426</v>
      </c>
      <c r="J201" s="10">
        <f>Data!I201</f>
        <v>0.9326490789017049</v>
      </c>
      <c r="K201" s="10">
        <f t="shared" si="12"/>
        <v>0.93212679931347053</v>
      </c>
      <c r="L201" s="17">
        <f>Data!N201</f>
        <v>-7.7923361111743014E-2</v>
      </c>
      <c r="M201" s="15">
        <f>Data!L201</f>
        <v>749.3</v>
      </c>
      <c r="N201" s="15">
        <f>Data!M201</f>
        <v>0.21461187303066254</v>
      </c>
      <c r="O201" s="15">
        <f>Data!O201</f>
        <v>150.71588134765625</v>
      </c>
      <c r="P201" s="17">
        <f>Data!P201</f>
        <v>0.88649999999999995</v>
      </c>
      <c r="Q201" s="17">
        <f>Data!R201</f>
        <v>-0.95</v>
      </c>
      <c r="R201" s="15">
        <f>Data!Q201</f>
        <v>-0.22</v>
      </c>
      <c r="S201" s="15">
        <f t="shared" si="15"/>
        <v>0</v>
      </c>
    </row>
    <row r="202" spans="1:19" x14ac:dyDescent="0.25">
      <c r="A202" s="15">
        <f>Data!A202</f>
        <v>201510</v>
      </c>
      <c r="B202" s="15">
        <v>80450</v>
      </c>
      <c r="C202" s="15">
        <f>Data!F202</f>
        <v>66500</v>
      </c>
      <c r="D202" s="15">
        <f>IF(Data!D202="Mauritius", 1, 0)</f>
        <v>0</v>
      </c>
      <c r="E202" s="15">
        <f>IF(Regression!A202&gt;201500, 1, 0)</f>
        <v>1</v>
      </c>
      <c r="F202" s="15">
        <f t="shared" si="13"/>
        <v>0</v>
      </c>
      <c r="G202" s="11">
        <f>Data!J202</f>
        <v>4.6457857344058091E-3</v>
      </c>
      <c r="H202" s="11">
        <f t="shared" si="14"/>
        <v>0</v>
      </c>
      <c r="I202" s="10">
        <f>Data!H202</f>
        <v>0.88301686363032794</v>
      </c>
      <c r="J202" s="10">
        <f>Data!I202</f>
        <v>1.0273919548172994</v>
      </c>
      <c r="K202" s="10">
        <f t="shared" si="12"/>
        <v>1.0267212190782595</v>
      </c>
      <c r="L202" s="17">
        <f>Data!N202</f>
        <v>-0.78975681471179293</v>
      </c>
      <c r="M202" s="15">
        <f>Data!L202</f>
        <v>749.3</v>
      </c>
      <c r="N202" s="15">
        <f>Data!M202</f>
        <v>8.5154697299003601E-2</v>
      </c>
      <c r="O202" s="15">
        <f>Data!O202</f>
        <v>91.931884765625</v>
      </c>
      <c r="P202" s="17">
        <f>Data!P202</f>
        <v>0.99509999999999998</v>
      </c>
      <c r="Q202" s="17">
        <f>Data!R202</f>
        <v>-0.95</v>
      </c>
      <c r="R202" s="15">
        <f>Data!Q202</f>
        <v>-0.22</v>
      </c>
      <c r="S202" s="15">
        <f t="shared" si="15"/>
        <v>0</v>
      </c>
    </row>
    <row r="203" spans="1:19" x14ac:dyDescent="0.25">
      <c r="A203" s="15">
        <f>Data!A203</f>
        <v>201509</v>
      </c>
      <c r="B203" s="15">
        <v>80450</v>
      </c>
      <c r="C203" s="15">
        <f>Data!F203</f>
        <v>38172</v>
      </c>
      <c r="D203" s="15">
        <f>IF(Data!D203="Mauritius", 1, 0)</f>
        <v>0</v>
      </c>
      <c r="E203" s="15">
        <f>IF(Regression!A203&gt;201500, 1, 0)</f>
        <v>1</v>
      </c>
      <c r="F203" s="15">
        <f t="shared" si="13"/>
        <v>0</v>
      </c>
      <c r="G203" s="11">
        <f>Data!J203</f>
        <v>2.3241558039233737E-3</v>
      </c>
      <c r="H203" s="11">
        <f t="shared" si="14"/>
        <v>0</v>
      </c>
      <c r="I203" s="10">
        <f>Data!H203</f>
        <v>0.90864079980956913</v>
      </c>
      <c r="J203" s="10">
        <f>Data!I203</f>
        <v>0.97348854514032723</v>
      </c>
      <c r="K203" s="10">
        <f t="shared" si="12"/>
        <v>0.97333782887664544</v>
      </c>
      <c r="L203" s="17">
        <f>Data!N203</f>
        <v>-3.6875895211452001E-2</v>
      </c>
      <c r="M203" s="15">
        <f>Data!L203</f>
        <v>749.3</v>
      </c>
      <c r="N203" s="15">
        <f>Data!M203</f>
        <v>6.5251432359218597E-2</v>
      </c>
      <c r="O203" s="15">
        <f>Data!O203</f>
        <v>98.7674560546875</v>
      </c>
      <c r="P203" s="17">
        <f>Data!P203</f>
        <v>1</v>
      </c>
      <c r="Q203" s="17">
        <f>Data!R203</f>
        <v>-0.95</v>
      </c>
      <c r="R203" s="15">
        <f>Data!Q203</f>
        <v>-0.22</v>
      </c>
      <c r="S203" s="15">
        <f t="shared" si="15"/>
        <v>0</v>
      </c>
    </row>
    <row r="204" spans="1:19" x14ac:dyDescent="0.25">
      <c r="A204" s="15">
        <f>Data!A204</f>
        <v>201507</v>
      </c>
      <c r="B204" s="15">
        <v>80450</v>
      </c>
      <c r="C204" s="15">
        <f>Data!F204</f>
        <v>16812</v>
      </c>
      <c r="D204" s="15">
        <f>IF(Data!D204="Mauritius", 1, 0)</f>
        <v>0</v>
      </c>
      <c r="E204" s="15">
        <f>IF(Regression!A204&gt;201500, 1, 0)</f>
        <v>1</v>
      </c>
      <c r="F204" s="15">
        <f t="shared" si="13"/>
        <v>0</v>
      </c>
      <c r="G204" s="11">
        <f>Data!J204</f>
        <v>1.0237554249994717E-3</v>
      </c>
      <c r="H204" s="11">
        <f t="shared" si="14"/>
        <v>0</v>
      </c>
      <c r="I204" s="10">
        <f>Data!H204</f>
        <v>1.5151405912040374</v>
      </c>
      <c r="J204" s="10">
        <f>Data!I204</f>
        <v>1.0228302177767103</v>
      </c>
      <c r="K204" s="10">
        <f t="shared" si="12"/>
        <v>1.0233342231922902</v>
      </c>
      <c r="L204" s="17">
        <f>Data!N204</f>
        <v>-4.3225640936862028E-2</v>
      </c>
      <c r="M204" s="15">
        <f>Data!L204</f>
        <v>749.3</v>
      </c>
      <c r="N204" s="15">
        <f>Data!M204</f>
        <v>0.18615524470806122</v>
      </c>
      <c r="O204" s="15">
        <f>Data!O204</f>
        <v>106.80866241455078</v>
      </c>
      <c r="P204" s="17">
        <f>Data!P204</f>
        <v>0.3926</v>
      </c>
      <c r="Q204" s="17">
        <f>Data!R204</f>
        <v>-0.95</v>
      </c>
      <c r="R204" s="15">
        <f>Data!Q204</f>
        <v>-0.22</v>
      </c>
      <c r="S204" s="15">
        <f t="shared" si="15"/>
        <v>0</v>
      </c>
    </row>
    <row r="205" spans="1:19" x14ac:dyDescent="0.25">
      <c r="A205" s="15">
        <f>Data!A205</f>
        <v>201506</v>
      </c>
      <c r="B205" s="15">
        <v>80450</v>
      </c>
      <c r="C205" s="15">
        <f>Data!F205</f>
        <v>3286</v>
      </c>
      <c r="D205" s="15">
        <f>IF(Data!D205="Mauritius", 1, 0)</f>
        <v>0</v>
      </c>
      <c r="E205" s="15">
        <f>IF(Regression!A205&gt;201500, 1, 0)</f>
        <v>1</v>
      </c>
      <c r="F205" s="15">
        <f t="shared" si="13"/>
        <v>0</v>
      </c>
      <c r="G205" s="11">
        <f>Data!J205</f>
        <v>2.0285371845496584E-4</v>
      </c>
      <c r="H205" s="11">
        <f t="shared" si="14"/>
        <v>0</v>
      </c>
      <c r="I205" s="10">
        <f>Data!H205</f>
        <v>0.70364025695931476</v>
      </c>
      <c r="J205" s="10">
        <f>Data!I205</f>
        <v>1.4585258474741469</v>
      </c>
      <c r="K205" s="10">
        <f t="shared" si="12"/>
        <v>1.4583727161251028</v>
      </c>
      <c r="L205" s="17">
        <f>Data!N205</f>
        <v>0.26073165922955738</v>
      </c>
      <c r="M205" s="15">
        <f>Data!L205</f>
        <v>749.3</v>
      </c>
      <c r="N205" s="15">
        <f>Data!M205</f>
        <v>0.10393209755420685</v>
      </c>
      <c r="O205" s="15">
        <f>Data!O205</f>
        <v>85.905967712402344</v>
      </c>
      <c r="P205" s="17">
        <f>Data!P205</f>
        <v>7.9000000000000001E-2</v>
      </c>
      <c r="Q205" s="17">
        <f>Data!R205</f>
        <v>-0.95</v>
      </c>
      <c r="R205" s="15">
        <f>Data!Q205</f>
        <v>-0.22</v>
      </c>
      <c r="S205" s="15">
        <f t="shared" si="15"/>
        <v>0</v>
      </c>
    </row>
    <row r="206" spans="1:19" x14ac:dyDescent="0.25">
      <c r="A206" s="15">
        <f>Data!A206</f>
        <v>201505</v>
      </c>
      <c r="B206" s="15">
        <v>80450</v>
      </c>
      <c r="C206" s="15">
        <f>Data!F206</f>
        <v>9390</v>
      </c>
      <c r="D206" s="15">
        <f>IF(Data!D206="Mauritius", 1, 0)</f>
        <v>0</v>
      </c>
      <c r="E206" s="15">
        <f>IF(Regression!A206&gt;201500, 1, 0)</f>
        <v>1</v>
      </c>
      <c r="F206" s="15">
        <f t="shared" si="13"/>
        <v>0</v>
      </c>
      <c r="G206" s="11">
        <f>Data!J206</f>
        <v>3.9758742763347792E-4</v>
      </c>
      <c r="H206" s="11">
        <f t="shared" si="14"/>
        <v>0</v>
      </c>
      <c r="I206" s="10">
        <f>Data!H206</f>
        <v>1.544407894736842</v>
      </c>
      <c r="J206" s="10">
        <f>Data!I206</f>
        <v>1.3109946668056627</v>
      </c>
      <c r="K206" s="10">
        <f t="shared" si="12"/>
        <v>1.3110874689705314</v>
      </c>
      <c r="L206" s="17">
        <f>Data!N206</f>
        <v>-0.15943187194187913</v>
      </c>
      <c r="M206" s="15">
        <f>Data!L206</f>
        <v>749.3</v>
      </c>
      <c r="N206" s="15">
        <f>Data!M206</f>
        <v>0.10688785463571548</v>
      </c>
      <c r="O206" s="15">
        <f>Data!O206</f>
        <v>76.2623291015625</v>
      </c>
      <c r="P206" s="17">
        <f>Data!P206</f>
        <v>0.99939999999999996</v>
      </c>
      <c r="Q206" s="17">
        <f>Data!R206</f>
        <v>-0.95</v>
      </c>
      <c r="R206" s="15">
        <f>Data!Q206</f>
        <v>-0.22</v>
      </c>
      <c r="S206" s="15">
        <f t="shared" si="15"/>
        <v>0</v>
      </c>
    </row>
    <row r="207" spans="1:19" x14ac:dyDescent="0.25">
      <c r="A207" s="15">
        <f>Data!A207</f>
        <v>201504</v>
      </c>
      <c r="B207" s="15">
        <v>80450</v>
      </c>
      <c r="C207" s="15">
        <f>Data!F207</f>
        <v>2295</v>
      </c>
      <c r="D207" s="15">
        <f>IF(Data!D207="Mauritius", 1, 0)</f>
        <v>0</v>
      </c>
      <c r="E207" s="15">
        <f>IF(Regression!A207&gt;201500, 1, 0)</f>
        <v>1</v>
      </c>
      <c r="F207" s="15">
        <f t="shared" si="13"/>
        <v>0</v>
      </c>
      <c r="G207" s="11">
        <f>Data!J207</f>
        <v>1.2139539002196542E-4</v>
      </c>
      <c r="H207" s="11">
        <f t="shared" si="14"/>
        <v>0</v>
      </c>
      <c r="I207" s="10">
        <f>Data!H207</f>
        <v>1.75</v>
      </c>
      <c r="J207" s="10">
        <f>Data!I207</f>
        <v>1.75</v>
      </c>
      <c r="K207" s="10">
        <f t="shared" si="12"/>
        <v>1.75</v>
      </c>
      <c r="L207" s="17">
        <f>Data!N207</f>
        <v>-0.66292206267733755</v>
      </c>
      <c r="M207" s="15">
        <f>Data!L207</f>
        <v>749.3</v>
      </c>
      <c r="N207" s="15">
        <f>Data!M207</f>
        <v>0.18705096840858459</v>
      </c>
      <c r="O207" s="15">
        <f>Data!O207</f>
        <v>102.19049072265625</v>
      </c>
      <c r="P207" s="17">
        <f>Data!P207</f>
        <v>0.99519999999999997</v>
      </c>
      <c r="Q207" s="17">
        <f>Data!R207</f>
        <v>-0.95</v>
      </c>
      <c r="R207" s="15">
        <f>Data!Q207</f>
        <v>-0.22</v>
      </c>
      <c r="S207" s="15">
        <f t="shared" si="15"/>
        <v>0</v>
      </c>
    </row>
    <row r="208" spans="1:19" x14ac:dyDescent="0.25">
      <c r="A208" s="15">
        <f>Data!A208</f>
        <v>201503</v>
      </c>
      <c r="B208" s="15">
        <v>80450</v>
      </c>
      <c r="C208" s="15">
        <f>Data!F208</f>
        <v>2867</v>
      </c>
      <c r="D208" s="15">
        <f>IF(Data!D208="Mauritius", 1, 0)</f>
        <v>0</v>
      </c>
      <c r="E208" s="15">
        <f>IF(Regression!A208&gt;201500, 1, 0)</f>
        <v>1</v>
      </c>
      <c r="F208" s="15">
        <f t="shared" si="13"/>
        <v>0</v>
      </c>
      <c r="G208" s="11">
        <f>Data!J208</f>
        <v>1.5294402579403395E-4</v>
      </c>
      <c r="H208" s="11">
        <f t="shared" si="14"/>
        <v>0</v>
      </c>
      <c r="I208" s="10">
        <f>Data!H208</f>
        <v>1.4335</v>
      </c>
      <c r="J208" s="10">
        <f>Data!I208</f>
        <v>0.9534029594348209</v>
      </c>
      <c r="K208" s="10">
        <f t="shared" si="12"/>
        <v>0.95347638740897667</v>
      </c>
      <c r="L208" s="17">
        <f>Data!N208</f>
        <v>-0.10703480570100631</v>
      </c>
      <c r="M208" s="15">
        <f>Data!L208</f>
        <v>749.3</v>
      </c>
      <c r="N208" s="15">
        <f>Data!M208</f>
        <v>0.13181200623512268</v>
      </c>
      <c r="O208" s="15">
        <f>Data!O208</f>
        <v>104.23526763916016</v>
      </c>
      <c r="P208" s="17">
        <f>Data!P208</f>
        <v>0.999</v>
      </c>
      <c r="Q208" s="17">
        <f>Data!R208</f>
        <v>-0.95</v>
      </c>
      <c r="R208" s="15">
        <f>Data!Q208</f>
        <v>-0.22</v>
      </c>
      <c r="S208" s="15">
        <f t="shared" si="15"/>
        <v>0</v>
      </c>
    </row>
    <row r="209" spans="1:19" x14ac:dyDescent="0.25">
      <c r="A209" s="15">
        <f>Data!A209</f>
        <v>201502</v>
      </c>
      <c r="B209" s="15">
        <v>80450</v>
      </c>
      <c r="C209" s="15">
        <f>Data!F209</f>
        <v>1145</v>
      </c>
      <c r="D209" s="15">
        <f>IF(Data!D209="Mauritius", 1, 0)</f>
        <v>0</v>
      </c>
      <c r="E209" s="15">
        <f>IF(Regression!A209&gt;201500, 1, 0)</f>
        <v>1</v>
      </c>
      <c r="F209" s="15">
        <f t="shared" si="13"/>
        <v>0</v>
      </c>
      <c r="G209" s="11">
        <f>Data!J209</f>
        <v>1.1234990371760435E-4</v>
      </c>
      <c r="H209" s="11">
        <f t="shared" si="14"/>
        <v>0</v>
      </c>
      <c r="I209" s="10">
        <f>Data!H209</f>
        <v>1.8709150326797386</v>
      </c>
      <c r="J209" s="10">
        <f>Data!I209</f>
        <v>0.84838634380500966</v>
      </c>
      <c r="K209" s="10">
        <f t="shared" si="12"/>
        <v>0.84850122480475321</v>
      </c>
      <c r="L209" s="17">
        <f>Data!N209</f>
        <v>-0.18590176729704391</v>
      </c>
      <c r="M209" s="15">
        <f>Data!L209</f>
        <v>749.3</v>
      </c>
      <c r="N209" s="15">
        <f>Data!M209</f>
        <v>0.1231527104973793</v>
      </c>
      <c r="O209" s="15">
        <f>Data!O209</f>
        <v>111.92469787597656</v>
      </c>
      <c r="P209" s="17">
        <f>Data!P209</f>
        <v>0.496</v>
      </c>
      <c r="Q209" s="17">
        <f>Data!R209</f>
        <v>-0.95</v>
      </c>
      <c r="R209" s="15">
        <f>Data!Q209</f>
        <v>-0.22</v>
      </c>
      <c r="S209" s="15">
        <f t="shared" si="15"/>
        <v>0</v>
      </c>
    </row>
    <row r="210" spans="1:19" x14ac:dyDescent="0.25">
      <c r="A210" s="15">
        <f>Data!A210</f>
        <v>201501</v>
      </c>
      <c r="B210" s="15">
        <v>80450</v>
      </c>
      <c r="C210" s="15">
        <f>Data!F210</f>
        <v>2665</v>
      </c>
      <c r="D210" s="15">
        <f>IF(Data!D210="Mauritius", 1, 0)</f>
        <v>0</v>
      </c>
      <c r="E210" s="15">
        <f>IF(Regression!A210&gt;201500, 1, 0)</f>
        <v>1</v>
      </c>
      <c r="F210" s="15">
        <f t="shared" si="13"/>
        <v>0</v>
      </c>
      <c r="G210" s="11">
        <f>Data!J210</f>
        <v>2.412202176756762E-4</v>
      </c>
      <c r="H210" s="11">
        <f t="shared" si="14"/>
        <v>0</v>
      </c>
      <c r="I210" s="10">
        <f>Data!H210</f>
        <v>1.2618371212121211</v>
      </c>
      <c r="J210" s="10">
        <f>Data!I210</f>
        <v>0.90526936116048884</v>
      </c>
      <c r="K210" s="10">
        <f t="shared" si="12"/>
        <v>0.90535537251318454</v>
      </c>
      <c r="L210" s="17">
        <f>Data!N210</f>
        <v>-8.6073803084089989E-2</v>
      </c>
      <c r="M210" s="15">
        <f>Data!L210</f>
        <v>749.3</v>
      </c>
      <c r="N210" s="15">
        <f>Data!M210</f>
        <v>0.21778281033039093</v>
      </c>
      <c r="O210" s="15">
        <f>Data!O210</f>
        <v>111.98569488525391</v>
      </c>
      <c r="P210" s="17">
        <f>Data!P210</f>
        <v>4.6399999999999997E-2</v>
      </c>
      <c r="Q210" s="17">
        <f>Data!R210</f>
        <v>-0.95</v>
      </c>
      <c r="R210" s="15">
        <f>Data!Q210</f>
        <v>-0.22</v>
      </c>
      <c r="S210" s="15">
        <f t="shared" si="15"/>
        <v>0</v>
      </c>
    </row>
    <row r="211" spans="1:19" x14ac:dyDescent="0.25">
      <c r="A211" s="15">
        <f>Data!A211</f>
        <v>201412</v>
      </c>
      <c r="B211" s="15">
        <v>80450</v>
      </c>
      <c r="C211" s="15">
        <f>Data!F211</f>
        <v>66378</v>
      </c>
      <c r="D211" s="15">
        <f>IF(Data!D211="Mauritius", 1, 0)</f>
        <v>0</v>
      </c>
      <c r="E211" s="15">
        <f>IF(Regression!A211&gt;201500, 1, 0)</f>
        <v>0</v>
      </c>
      <c r="F211" s="15">
        <f t="shared" si="13"/>
        <v>0</v>
      </c>
      <c r="G211" s="11">
        <f>Data!J211</f>
        <v>4.4791214557326929E-3</v>
      </c>
      <c r="H211" s="11">
        <f t="shared" si="14"/>
        <v>0</v>
      </c>
      <c r="I211" s="10">
        <f>Data!H211</f>
        <v>0.94324447223327457</v>
      </c>
      <c r="J211" s="10">
        <f>Data!I211</f>
        <v>0.9310103324803557</v>
      </c>
      <c r="K211" s="10">
        <f t="shared" si="12"/>
        <v>0.93106513067821539</v>
      </c>
      <c r="L211" s="17">
        <f>Data!N211</f>
        <v>-3.5552552772133469E-2</v>
      </c>
      <c r="M211" s="15">
        <f>Data!L211</f>
        <v>742.8</v>
      </c>
      <c r="N211" s="15">
        <f>Data!M211</f>
        <v>0.20030480623245239</v>
      </c>
      <c r="O211" s="15">
        <f>Data!O211</f>
        <v>86.526222229003906</v>
      </c>
      <c r="P211" s="17">
        <f>Data!P211</f>
        <v>0.34139999999999998</v>
      </c>
      <c r="Q211" s="17">
        <f>Data!R211</f>
        <v>-1</v>
      </c>
      <c r="R211" s="15">
        <f>Data!Q211</f>
        <v>-0.15</v>
      </c>
      <c r="S211" s="15">
        <f t="shared" si="15"/>
        <v>0</v>
      </c>
    </row>
    <row r="212" spans="1:19" x14ac:dyDescent="0.25">
      <c r="A212" s="15">
        <f>Data!A212</f>
        <v>201411</v>
      </c>
      <c r="B212" s="15">
        <v>80450</v>
      </c>
      <c r="C212" s="15">
        <f>Data!F212</f>
        <v>4673</v>
      </c>
      <c r="D212" s="15">
        <f>IF(Data!D212="Mauritius", 1, 0)</f>
        <v>0</v>
      </c>
      <c r="E212" s="15">
        <f>IF(Regression!A212&gt;201500, 1, 0)</f>
        <v>0</v>
      </c>
      <c r="F212" s="15">
        <f t="shared" si="13"/>
        <v>0</v>
      </c>
      <c r="G212" s="11">
        <f>Data!J212</f>
        <v>3.5672455558860962E-4</v>
      </c>
      <c r="H212" s="11">
        <f t="shared" si="14"/>
        <v>0</v>
      </c>
      <c r="I212" s="10">
        <f>Data!H212</f>
        <v>0.34360294117647061</v>
      </c>
      <c r="J212" s="10">
        <f>Data!I212</f>
        <v>0.89553593921174202</v>
      </c>
      <c r="K212" s="10">
        <f t="shared" si="12"/>
        <v>0.89533905115830315</v>
      </c>
      <c r="L212" s="17">
        <f>Data!N212</f>
        <v>-0.7001321575694488</v>
      </c>
      <c r="M212" s="15">
        <f>Data!L212</f>
        <v>742.8</v>
      </c>
      <c r="N212" s="15">
        <f>Data!M212</f>
        <v>0.15289904177188873</v>
      </c>
      <c r="O212" s="15">
        <f>Data!O212</f>
        <v>84.380050659179688</v>
      </c>
      <c r="P212" s="17">
        <f>Data!P212</f>
        <v>4.4200000000000003E-2</v>
      </c>
      <c r="Q212" s="17">
        <f>Data!R212</f>
        <v>-1</v>
      </c>
      <c r="R212" s="15">
        <f>Data!Q212</f>
        <v>-0.15</v>
      </c>
      <c r="S212" s="15">
        <f t="shared" si="15"/>
        <v>0</v>
      </c>
    </row>
    <row r="213" spans="1:19" x14ac:dyDescent="0.25">
      <c r="A213" s="15">
        <f>Data!A213</f>
        <v>201410</v>
      </c>
      <c r="B213" s="15">
        <v>80450</v>
      </c>
      <c r="C213" s="15">
        <f>Data!F213</f>
        <v>1523</v>
      </c>
      <c r="D213" s="15">
        <f>IF(Data!D213="Mauritius", 1, 0)</f>
        <v>0</v>
      </c>
      <c r="E213" s="15">
        <f>IF(Regression!A213&gt;201500, 1, 0)</f>
        <v>0</v>
      </c>
      <c r="F213" s="15">
        <f t="shared" si="13"/>
        <v>0</v>
      </c>
      <c r="G213" s="11">
        <f>Data!J213</f>
        <v>1.0459612400965911E-4</v>
      </c>
      <c r="H213" s="11">
        <f t="shared" si="14"/>
        <v>0</v>
      </c>
      <c r="I213" s="10">
        <f>Data!H213</f>
        <v>1.4815175097276265</v>
      </c>
      <c r="J213" s="10">
        <f>Data!I213</f>
        <v>0.93532108114580292</v>
      </c>
      <c r="K213" s="10">
        <f t="shared" si="12"/>
        <v>0.9353782111751805</v>
      </c>
      <c r="L213" s="17">
        <f>Data!N213</f>
        <v>-0.3810401564702916</v>
      </c>
      <c r="M213" s="15">
        <f>Data!L213</f>
        <v>742.8</v>
      </c>
      <c r="N213" s="15">
        <f>Data!M213</f>
        <v>0.1330697238445282</v>
      </c>
      <c r="O213" s="15">
        <f>Data!O213</f>
        <v>83.661003112792969</v>
      </c>
      <c r="P213" s="17">
        <f>Data!P213</f>
        <v>0.17269999999999999</v>
      </c>
      <c r="Q213" s="17">
        <f>Data!R213</f>
        <v>-1</v>
      </c>
      <c r="R213" s="15">
        <f>Data!Q213</f>
        <v>-0.15</v>
      </c>
      <c r="S213" s="15">
        <f t="shared" si="15"/>
        <v>0</v>
      </c>
    </row>
    <row r="214" spans="1:19" x14ac:dyDescent="0.25">
      <c r="A214" s="15">
        <f>Data!A214</f>
        <v>201408</v>
      </c>
      <c r="B214" s="15">
        <v>80450</v>
      </c>
      <c r="C214" s="15">
        <f>Data!F214</f>
        <v>21950</v>
      </c>
      <c r="D214" s="15">
        <f>IF(Data!D214="Mauritius", 1, 0)</f>
        <v>0</v>
      </c>
      <c r="E214" s="15">
        <f>IF(Regression!A214&gt;201500, 1, 0)</f>
        <v>0</v>
      </c>
      <c r="F214" s="15">
        <f t="shared" si="13"/>
        <v>0</v>
      </c>
      <c r="G214" s="11">
        <f>Data!J214</f>
        <v>1.1752954502680022E-3</v>
      </c>
      <c r="H214" s="11">
        <f t="shared" si="14"/>
        <v>0</v>
      </c>
      <c r="I214" s="10">
        <f>Data!H214</f>
        <v>0.9469370146678171</v>
      </c>
      <c r="J214" s="10">
        <f>Data!I214</f>
        <v>0.80471056835680765</v>
      </c>
      <c r="K214" s="10">
        <f t="shared" si="12"/>
        <v>0.8048777264520649</v>
      </c>
      <c r="L214" s="17">
        <f>Data!N214</f>
        <v>-0.39135540318287748</v>
      </c>
      <c r="M214" s="15">
        <f>Data!L214</f>
        <v>742.8</v>
      </c>
      <c r="N214" s="15">
        <f>Data!M214</f>
        <v>0.16138376295566559</v>
      </c>
      <c r="O214" s="15">
        <f>Data!O214</f>
        <v>136.44558715820313</v>
      </c>
      <c r="P214" s="17">
        <f>Data!P214</f>
        <v>0.85499999999999998</v>
      </c>
      <c r="Q214" s="17">
        <f>Data!R214</f>
        <v>-1</v>
      </c>
      <c r="R214" s="15">
        <f>Data!Q214</f>
        <v>-0.15</v>
      </c>
      <c r="S214" s="15">
        <f t="shared" si="15"/>
        <v>0</v>
      </c>
    </row>
    <row r="215" spans="1:19" x14ac:dyDescent="0.25">
      <c r="A215" s="15">
        <f>Data!A215</f>
        <v>201407</v>
      </c>
      <c r="B215" s="15">
        <v>80450</v>
      </c>
      <c r="C215" s="15">
        <f>Data!F215</f>
        <v>25287</v>
      </c>
      <c r="D215" s="15">
        <f>IF(Data!D215="Mauritius", 1, 0)</f>
        <v>0</v>
      </c>
      <c r="E215" s="15">
        <f>IF(Regression!A215&gt;201500, 1, 0)</f>
        <v>0</v>
      </c>
      <c r="F215" s="15">
        <f t="shared" si="13"/>
        <v>0</v>
      </c>
      <c r="G215" s="11">
        <f>Data!J215</f>
        <v>1.3554553015471284E-3</v>
      </c>
      <c r="H215" s="11">
        <f t="shared" si="14"/>
        <v>0</v>
      </c>
      <c r="I215" s="10">
        <f>Data!H215</f>
        <v>0.81120877710766071</v>
      </c>
      <c r="J215" s="10">
        <f>Data!I215</f>
        <v>0.87448683021443574</v>
      </c>
      <c r="K215" s="10">
        <f t="shared" si="12"/>
        <v>0.87440105964188053</v>
      </c>
      <c r="L215" s="17">
        <f>Data!N215</f>
        <v>-0.16676357031202721</v>
      </c>
      <c r="M215" s="15">
        <f>Data!L215</f>
        <v>742.8</v>
      </c>
      <c r="N215" s="15">
        <f>Data!M215</f>
        <v>0.14513218402862549</v>
      </c>
      <c r="O215" s="15">
        <f>Data!O215</f>
        <v>138.75395202636719</v>
      </c>
      <c r="P215" s="17">
        <f>Data!P215</f>
        <v>0.1643</v>
      </c>
      <c r="Q215" s="17">
        <f>Data!R215</f>
        <v>-1</v>
      </c>
      <c r="R215" s="15">
        <f>Data!Q215</f>
        <v>-0.15</v>
      </c>
      <c r="S215" s="15">
        <f t="shared" si="15"/>
        <v>0</v>
      </c>
    </row>
    <row r="216" spans="1:19" x14ac:dyDescent="0.25">
      <c r="A216" s="15">
        <f>Data!A216</f>
        <v>201406</v>
      </c>
      <c r="B216" s="15">
        <v>80450</v>
      </c>
      <c r="C216" s="15">
        <f>Data!F216</f>
        <v>44802</v>
      </c>
      <c r="D216" s="15">
        <f>IF(Data!D216="Mauritius", 1, 0)</f>
        <v>0</v>
      </c>
      <c r="E216" s="15">
        <f>IF(Regression!A216&gt;201500, 1, 0)</f>
        <v>0</v>
      </c>
      <c r="F216" s="15">
        <f t="shared" si="13"/>
        <v>0</v>
      </c>
      <c r="G216" s="11">
        <f>Data!J216</f>
        <v>2.6933639256960518E-3</v>
      </c>
      <c r="H216" s="11">
        <f t="shared" si="14"/>
        <v>0</v>
      </c>
      <c r="I216" s="10">
        <f>Data!H216</f>
        <v>0.87847058823529411</v>
      </c>
      <c r="J216" s="10">
        <f>Data!I216</f>
        <v>0.95678741046628024</v>
      </c>
      <c r="K216" s="10">
        <f t="shared" si="12"/>
        <v>0.95657647476250807</v>
      </c>
      <c r="L216" s="17">
        <f>Data!N216</f>
        <v>-0.43161694137912276</v>
      </c>
      <c r="M216" s="15">
        <f>Data!L216</f>
        <v>742.8</v>
      </c>
      <c r="N216" s="15">
        <f>Data!M216</f>
        <v>0.11897207796573639</v>
      </c>
      <c r="O216" s="15">
        <f>Data!O216</f>
        <v>98.767105102539063</v>
      </c>
      <c r="P216" s="17">
        <f>Data!P216</f>
        <v>0.49170000000000003</v>
      </c>
      <c r="Q216" s="17">
        <f>Data!R216</f>
        <v>-1</v>
      </c>
      <c r="R216" s="15">
        <f>Data!Q216</f>
        <v>-0.15</v>
      </c>
      <c r="S216" s="15">
        <f t="shared" si="15"/>
        <v>0</v>
      </c>
    </row>
    <row r="217" spans="1:19" x14ac:dyDescent="0.25">
      <c r="A217" s="15">
        <f>Data!A217</f>
        <v>201405</v>
      </c>
      <c r="B217" s="15">
        <v>80450</v>
      </c>
      <c r="C217" s="15">
        <f>Data!F217</f>
        <v>17089</v>
      </c>
      <c r="D217" s="15">
        <f>IF(Data!D217="Mauritius", 1, 0)</f>
        <v>0</v>
      </c>
      <c r="E217" s="15">
        <f>IF(Regression!A217&gt;201500, 1, 0)</f>
        <v>0</v>
      </c>
      <c r="F217" s="15">
        <f t="shared" si="13"/>
        <v>0</v>
      </c>
      <c r="G217" s="11">
        <f>Data!J217</f>
        <v>7.2566977528271668E-4</v>
      </c>
      <c r="H217" s="11">
        <f t="shared" si="14"/>
        <v>0</v>
      </c>
      <c r="I217" s="10">
        <f>Data!H217</f>
        <v>0.57538720538720534</v>
      </c>
      <c r="J217" s="10">
        <f>Data!I217</f>
        <v>1.0883669651332932</v>
      </c>
      <c r="K217" s="10">
        <f t="shared" si="12"/>
        <v>1.0879947112263137</v>
      </c>
      <c r="L217" s="17">
        <f>Data!N217</f>
        <v>-0.30315445116041051</v>
      </c>
      <c r="M217" s="15">
        <f>Data!L217</f>
        <v>742.8</v>
      </c>
      <c r="N217" s="15">
        <f>Data!M217</f>
        <v>0.10159924626350403</v>
      </c>
      <c r="O217" s="15">
        <f>Data!O217</f>
        <v>83.428855895996094</v>
      </c>
      <c r="P217" s="17">
        <f>Data!P217</f>
        <v>0.2576</v>
      </c>
      <c r="Q217" s="17">
        <f>Data!R217</f>
        <v>-1</v>
      </c>
      <c r="R217" s="15">
        <f>Data!Q217</f>
        <v>-0.15</v>
      </c>
      <c r="S217" s="15">
        <f t="shared" si="15"/>
        <v>0</v>
      </c>
    </row>
    <row r="218" spans="1:19" x14ac:dyDescent="0.25">
      <c r="A218" s="15">
        <f>Data!A218</f>
        <v>201404</v>
      </c>
      <c r="B218" s="15">
        <v>80450</v>
      </c>
      <c r="C218" s="15">
        <f>Data!F218</f>
        <v>3303</v>
      </c>
      <c r="D218" s="15">
        <f>IF(Data!D218="Mauritius", 1, 0)</f>
        <v>0</v>
      </c>
      <c r="E218" s="15">
        <f>IF(Regression!A218&gt;201500, 1, 0)</f>
        <v>0</v>
      </c>
      <c r="F218" s="15">
        <f t="shared" si="13"/>
        <v>0</v>
      </c>
      <c r="G218" s="11">
        <f>Data!J218</f>
        <v>1.445844964185024E-4</v>
      </c>
      <c r="H218" s="11">
        <f t="shared" si="14"/>
        <v>0</v>
      </c>
      <c r="I218" s="10">
        <f>Data!H218</f>
        <v>0.3796551724137931</v>
      </c>
      <c r="J218" s="10">
        <f>Data!I218</f>
        <v>1.1830992297893104</v>
      </c>
      <c r="K218" s="10">
        <f t="shared" si="12"/>
        <v>1.1829830642348742</v>
      </c>
      <c r="L218" s="17">
        <f>Data!N218</f>
        <v>-0.52891738507569885</v>
      </c>
      <c r="M218" s="15">
        <f>Data!L218</f>
        <v>742.8</v>
      </c>
      <c r="N218" s="15">
        <f>Data!M218</f>
        <v>0.10253579169511795</v>
      </c>
      <c r="O218" s="15">
        <f>Data!O218</f>
        <v>93.221542358398438</v>
      </c>
      <c r="P218" s="17">
        <f>Data!P219</f>
        <v>0.73450000000000004</v>
      </c>
      <c r="Q218" s="17">
        <f>Data!R218</f>
        <v>-1</v>
      </c>
      <c r="R218" s="15">
        <f>Data!Q218</f>
        <v>-0.15</v>
      </c>
      <c r="S218" s="15">
        <f t="shared" si="15"/>
        <v>0</v>
      </c>
    </row>
    <row r="219" spans="1:19" x14ac:dyDescent="0.25">
      <c r="A219" s="15">
        <f>Data!A219</f>
        <v>201403</v>
      </c>
      <c r="B219" s="15">
        <v>80450</v>
      </c>
      <c r="C219" s="15">
        <f>Data!F219</f>
        <v>3831</v>
      </c>
      <c r="D219" s="15">
        <f>IF(Data!D219="Mauritius", 1, 0)</f>
        <v>0</v>
      </c>
      <c r="E219" s="15">
        <f>IF(Regression!A219&gt;201500, 1, 0)</f>
        <v>0</v>
      </c>
      <c r="F219" s="15">
        <f t="shared" si="13"/>
        <v>0</v>
      </c>
      <c r="G219" s="11">
        <f>Data!J219</f>
        <v>2.4457687020386576E-4</v>
      </c>
      <c r="H219" s="11">
        <f t="shared" si="14"/>
        <v>0</v>
      </c>
      <c r="I219" s="10">
        <f>Data!H219</f>
        <v>0.2946923076923077</v>
      </c>
      <c r="J219" s="10">
        <f>Data!I219</f>
        <v>1.0285753328731473</v>
      </c>
      <c r="K219" s="10">
        <f t="shared" si="12"/>
        <v>1.0283958420597528</v>
      </c>
      <c r="L219" s="17">
        <f>Data!N219</f>
        <v>-5.4103371293654737E-2</v>
      </c>
      <c r="M219" s="15">
        <f>Data!L219</f>
        <v>742.8</v>
      </c>
      <c r="N219" s="15">
        <f>Data!M219</f>
        <v>0.24186046421527863</v>
      </c>
      <c r="O219" s="15">
        <f>Data!O219</f>
        <v>119.83855438232422</v>
      </c>
      <c r="P219" s="17">
        <f>Data!P220</f>
        <v>0.60050000000000003</v>
      </c>
      <c r="Q219" s="17">
        <f>Data!R219</f>
        <v>-1</v>
      </c>
      <c r="R219" s="15">
        <f>Data!Q219</f>
        <v>-0.15</v>
      </c>
      <c r="S219" s="15">
        <f t="shared" si="15"/>
        <v>0</v>
      </c>
    </row>
    <row r="220" spans="1:19" x14ac:dyDescent="0.25">
      <c r="A220" s="15">
        <f>Data!A220</f>
        <v>201402</v>
      </c>
      <c r="B220" s="15">
        <v>80450</v>
      </c>
      <c r="C220" s="15">
        <f>Data!F220</f>
        <v>3989</v>
      </c>
      <c r="D220" s="15">
        <f>IF(Data!D220="Mauritius", 1, 0)</f>
        <v>0</v>
      </c>
      <c r="E220" s="15">
        <f>IF(Regression!A220&gt;201500, 1, 0)</f>
        <v>0</v>
      </c>
      <c r="F220" s="15">
        <f t="shared" si="13"/>
        <v>0</v>
      </c>
      <c r="G220" s="11">
        <f>Data!J220</f>
        <v>3.9034530930486731E-4</v>
      </c>
      <c r="H220" s="11">
        <f t="shared" si="14"/>
        <v>0</v>
      </c>
      <c r="I220" s="10">
        <f>Data!H220</f>
        <v>1.5295245398773005</v>
      </c>
      <c r="J220" s="10">
        <f>Data!I220</f>
        <v>0.6005521892344432</v>
      </c>
      <c r="K220" s="10">
        <f t="shared" si="12"/>
        <v>0.60091480923399065</v>
      </c>
      <c r="L220" s="17">
        <f>Data!N220</f>
        <v>-0.67985097501772207</v>
      </c>
      <c r="M220" s="15">
        <f>Data!L220</f>
        <v>742.8</v>
      </c>
      <c r="N220" s="15">
        <f>Data!M220</f>
        <v>0.10369141399860382</v>
      </c>
      <c r="O220" s="15">
        <f>Data!O220</f>
        <v>69.003524780273438</v>
      </c>
      <c r="P220" s="17">
        <f>Data!P221</f>
        <v>0.8256</v>
      </c>
      <c r="Q220" s="17">
        <f>Data!R220</f>
        <v>-1</v>
      </c>
      <c r="R220" s="15">
        <f>Data!Q220</f>
        <v>-0.15</v>
      </c>
      <c r="S220" s="15">
        <f t="shared" si="15"/>
        <v>0</v>
      </c>
    </row>
    <row r="221" spans="1:19" x14ac:dyDescent="0.25">
      <c r="A221" s="15">
        <f>Data!A221</f>
        <v>201401</v>
      </c>
      <c r="B221" s="15">
        <v>80450</v>
      </c>
      <c r="C221" s="15">
        <f>Data!F221</f>
        <v>5955</v>
      </c>
      <c r="D221" s="15">
        <f>IF(Data!D221="Mauritius", 1, 0)</f>
        <v>0</v>
      </c>
      <c r="E221" s="15">
        <f>IF(Regression!A221&gt;201500, 1, 0)</f>
        <v>0</v>
      </c>
      <c r="F221" s="15">
        <f t="shared" si="13"/>
        <v>0</v>
      </c>
      <c r="G221" s="11">
        <f>Data!J221</f>
        <v>5.7933053711091214E-4</v>
      </c>
      <c r="H221" s="11">
        <f t="shared" si="14"/>
        <v>0</v>
      </c>
      <c r="I221" s="10">
        <f>Data!H221</f>
        <v>0.83873239436619718</v>
      </c>
      <c r="J221" s="10">
        <f>Data!I221</f>
        <v>0.86024087835219754</v>
      </c>
      <c r="K221" s="10">
        <f t="shared" si="12"/>
        <v>0.86022841783061754</v>
      </c>
      <c r="L221" s="17">
        <f>Data!N221</f>
        <v>-0.25694749044013881</v>
      </c>
      <c r="M221" s="15">
        <f>Data!L221</f>
        <v>742.8</v>
      </c>
      <c r="N221" s="15">
        <f>Data!M221</f>
        <v>9.4265513122081757E-2</v>
      </c>
      <c r="O221" s="15">
        <f>Data!O221</f>
        <v>77.915969848632813</v>
      </c>
      <c r="P221" s="17">
        <f>Data!P221</f>
        <v>0.8256</v>
      </c>
      <c r="Q221" s="17">
        <f>Data!R221</f>
        <v>-1</v>
      </c>
      <c r="R221" s="15">
        <f>Data!Q221</f>
        <v>-0.15</v>
      </c>
      <c r="S221" s="15">
        <f t="shared" si="15"/>
        <v>0</v>
      </c>
    </row>
    <row r="222" spans="1:19" x14ac:dyDescent="0.25">
      <c r="A222" s="15">
        <f>Data!A222</f>
        <v>201312</v>
      </c>
      <c r="B222" s="15">
        <v>80450</v>
      </c>
      <c r="C222" s="15">
        <f>Data!F222</f>
        <v>4733</v>
      </c>
      <c r="D222" s="15">
        <f>IF(Data!D222="Mauritius", 1, 0)</f>
        <v>0</v>
      </c>
      <c r="E222" s="15">
        <f>IF(Regression!A222&gt;201500, 1, 0)</f>
        <v>0</v>
      </c>
      <c r="F222" s="15">
        <f t="shared" si="13"/>
        <v>0</v>
      </c>
      <c r="G222" s="11">
        <f>Data!J222</f>
        <v>3.8830060849896753E-4</v>
      </c>
      <c r="H222" s="11">
        <f t="shared" si="14"/>
        <v>0</v>
      </c>
      <c r="I222" s="10">
        <f>Data!H222</f>
        <v>1.028913043478261</v>
      </c>
      <c r="J222" s="10">
        <f>Data!I222</f>
        <v>0.40964268996933112</v>
      </c>
      <c r="K222" s="10">
        <f t="shared" si="12"/>
        <v>0.40988315302442402</v>
      </c>
      <c r="L222" s="17">
        <f>Data!N222</f>
        <v>0.68456787260464891</v>
      </c>
      <c r="M222" s="15">
        <f>Data!L222</f>
        <v>713.7</v>
      </c>
      <c r="N222" s="15">
        <f>Data!M222</f>
        <v>7.9100750386714935E-2</v>
      </c>
      <c r="O222" s="15">
        <f>Data!O222</f>
        <v>70.372489929199219</v>
      </c>
      <c r="P222" s="17">
        <f>Data!P222</f>
        <v>0.87229999999999996</v>
      </c>
      <c r="Q222" s="17">
        <f>Data!R222</f>
        <v>-1.23</v>
      </c>
      <c r="R222" s="15">
        <f>Data!Q222</f>
        <v>-0.05</v>
      </c>
      <c r="S222" s="15">
        <f t="shared" si="15"/>
        <v>0</v>
      </c>
    </row>
    <row r="223" spans="1:19" x14ac:dyDescent="0.25">
      <c r="A223" s="15">
        <f>Data!A223</f>
        <v>201311</v>
      </c>
      <c r="B223" s="15">
        <v>80450</v>
      </c>
      <c r="C223" s="15">
        <f>Data!F223</f>
        <v>842</v>
      </c>
      <c r="D223" s="15">
        <f>IF(Data!D223="Mauritius", 1, 0)</f>
        <v>0</v>
      </c>
      <c r="E223" s="15">
        <f>IF(Regression!A223&gt;201500, 1, 0)</f>
        <v>0</v>
      </c>
      <c r="F223" s="15">
        <f t="shared" si="13"/>
        <v>0</v>
      </c>
      <c r="G223" s="11">
        <f>Data!J223</f>
        <v>7.2968884663665007E-5</v>
      </c>
      <c r="H223" s="11">
        <f t="shared" si="14"/>
        <v>0</v>
      </c>
      <c r="I223" s="10">
        <f>Data!H223</f>
        <v>0.84199999999999997</v>
      </c>
      <c r="J223" s="10">
        <f>Data!I223</f>
        <v>0.93066946350120439</v>
      </c>
      <c r="K223" s="10">
        <f t="shared" si="12"/>
        <v>0.93066299338934899</v>
      </c>
      <c r="L223" s="17">
        <f>Data!N223</f>
        <v>-0.56183303659569805</v>
      </c>
      <c r="M223" s="15">
        <f>Data!L223</f>
        <v>713.7</v>
      </c>
      <c r="N223" s="15">
        <f>Data!M223</f>
        <v>0.15906079113483429</v>
      </c>
      <c r="O223" s="15">
        <f>Data!O223</f>
        <v>77.779022216796875</v>
      </c>
      <c r="P223" s="17">
        <f>Data!P223</f>
        <v>0.18060000000000001</v>
      </c>
      <c r="Q223" s="17">
        <f>Data!R223</f>
        <v>-1.23</v>
      </c>
      <c r="R223" s="15">
        <f>Data!Q223</f>
        <v>-0.05</v>
      </c>
      <c r="S223" s="15">
        <f t="shared" si="15"/>
        <v>0</v>
      </c>
    </row>
    <row r="224" spans="1:19" x14ac:dyDescent="0.25">
      <c r="A224" s="15">
        <f>Data!A224</f>
        <v>201310</v>
      </c>
      <c r="B224" s="15">
        <v>80450</v>
      </c>
      <c r="C224" s="15">
        <f>Data!F224</f>
        <v>13773</v>
      </c>
      <c r="D224" s="15">
        <f>IF(Data!D224="Mauritius", 1, 0)</f>
        <v>0</v>
      </c>
      <c r="E224" s="15">
        <f>IF(Regression!A224&gt;201500, 1, 0)</f>
        <v>0</v>
      </c>
      <c r="F224" s="15">
        <f t="shared" si="13"/>
        <v>0</v>
      </c>
      <c r="G224" s="11">
        <f>Data!J224</f>
        <v>1.0788508112177925E-3</v>
      </c>
      <c r="H224" s="11">
        <f t="shared" si="14"/>
        <v>0</v>
      </c>
      <c r="I224" s="10">
        <f>Data!H224</f>
        <v>1.9384940182969739</v>
      </c>
      <c r="J224" s="10">
        <f>Data!I224</f>
        <v>0.87947279422614855</v>
      </c>
      <c r="K224" s="10">
        <f t="shared" si="12"/>
        <v>0.88061532013283428</v>
      </c>
      <c r="L224" s="17">
        <f>Data!N224</f>
        <v>0.4164431830113105</v>
      </c>
      <c r="M224" s="15">
        <f>Data!L224</f>
        <v>713.7</v>
      </c>
      <c r="N224" s="15">
        <f>Data!M224</f>
        <v>0.12658685445785522</v>
      </c>
      <c r="O224" s="15">
        <f>Data!O224</f>
        <v>72.953117370605469</v>
      </c>
      <c r="P224" s="17">
        <f>Data!P224</f>
        <v>0.74590000000000001</v>
      </c>
      <c r="Q224" s="17">
        <f>Data!R224</f>
        <v>-1.23</v>
      </c>
      <c r="R224" s="15">
        <f>Data!Q224</f>
        <v>-0.05</v>
      </c>
      <c r="S224" s="15">
        <f t="shared" si="15"/>
        <v>0</v>
      </c>
    </row>
    <row r="225" spans="1:19" x14ac:dyDescent="0.25">
      <c r="A225" s="15">
        <f>Data!A225</f>
        <v>201309</v>
      </c>
      <c r="B225" s="15">
        <v>80450</v>
      </c>
      <c r="C225" s="15">
        <f>Data!F225</f>
        <v>7998</v>
      </c>
      <c r="D225" s="15">
        <f>IF(Data!D225="Mauritius", 1, 0)</f>
        <v>0</v>
      </c>
      <c r="E225" s="15">
        <f>IF(Regression!A225&gt;201500, 1, 0)</f>
        <v>0</v>
      </c>
      <c r="F225" s="15">
        <f t="shared" si="13"/>
        <v>0</v>
      </c>
      <c r="G225" s="11">
        <f>Data!J225</f>
        <v>5.641795902566368E-4</v>
      </c>
      <c r="H225" s="11">
        <f t="shared" si="14"/>
        <v>0</v>
      </c>
      <c r="I225" s="10">
        <f>Data!H225</f>
        <v>1.66625</v>
      </c>
      <c r="J225" s="10">
        <f>Data!I225</f>
        <v>0.86075426657052223</v>
      </c>
      <c r="K225" s="10">
        <f t="shared" si="12"/>
        <v>0.86120871082336192</v>
      </c>
      <c r="L225" s="17">
        <f>Data!N225</f>
        <v>-9.48767697693376E-3</v>
      </c>
      <c r="M225" s="15">
        <f>Data!L225</f>
        <v>713.7</v>
      </c>
      <c r="N225" s="15">
        <f>Data!M225</f>
        <v>0.12699145078659058</v>
      </c>
      <c r="O225" s="15">
        <f>Data!O225</f>
        <v>100.45932769775391</v>
      </c>
      <c r="P225" s="17">
        <f>Data!P225</f>
        <v>0.21920000000000001</v>
      </c>
      <c r="Q225" s="17">
        <f>Data!R225</f>
        <v>-1.23</v>
      </c>
      <c r="R225" s="15">
        <f>Data!Q225</f>
        <v>-0.05</v>
      </c>
      <c r="S225" s="15">
        <f t="shared" si="15"/>
        <v>0</v>
      </c>
    </row>
    <row r="226" spans="1:19" x14ac:dyDescent="0.25">
      <c r="A226" s="15">
        <f>Data!A226</f>
        <v>201308</v>
      </c>
      <c r="B226" s="15">
        <v>80450</v>
      </c>
      <c r="C226" s="15">
        <f>Data!F226</f>
        <v>736</v>
      </c>
      <c r="D226" s="15">
        <f>IF(Data!D226="Mauritius", 1, 0)</f>
        <v>0</v>
      </c>
      <c r="E226" s="15">
        <f>IF(Regression!A226&gt;201500, 1, 0)</f>
        <v>0</v>
      </c>
      <c r="F226" s="15">
        <f t="shared" si="13"/>
        <v>0</v>
      </c>
      <c r="G226" s="11">
        <f>Data!J226</f>
        <v>3.8715432471106633E-5</v>
      </c>
      <c r="H226" s="11">
        <f t="shared" si="14"/>
        <v>0</v>
      </c>
      <c r="I226" s="10">
        <f>Data!H226</f>
        <v>0.73599999999999999</v>
      </c>
      <c r="J226" s="10">
        <f>Data!I226</f>
        <v>0.85938476021001886</v>
      </c>
      <c r="K226" s="10">
        <f t="shared" si="12"/>
        <v>0.85937998331566701</v>
      </c>
      <c r="L226" s="17">
        <f>Data!N226</f>
        <v>-0.55360529882080456</v>
      </c>
      <c r="M226" s="15">
        <f>Data!L226</f>
        <v>713.7</v>
      </c>
      <c r="N226" s="15">
        <f>Data!M226</f>
        <v>0.17600917816162109</v>
      </c>
      <c r="O226" s="15">
        <f>Data!O226</f>
        <v>90.956748962402344</v>
      </c>
      <c r="P226" s="17">
        <f>Data!P226</f>
        <v>2.01E-2</v>
      </c>
      <c r="Q226" s="17">
        <f>Data!R226</f>
        <v>-1.23</v>
      </c>
      <c r="R226" s="15">
        <f>Data!Q226</f>
        <v>-0.05</v>
      </c>
      <c r="S226" s="15">
        <f t="shared" si="15"/>
        <v>0</v>
      </c>
    </row>
    <row r="227" spans="1:19" x14ac:dyDescent="0.25">
      <c r="A227" s="15">
        <f>Data!A227</f>
        <v>201307</v>
      </c>
      <c r="B227" s="15">
        <v>80450</v>
      </c>
      <c r="C227" s="15">
        <f>Data!F227</f>
        <v>4142</v>
      </c>
      <c r="D227" s="15">
        <f>IF(Data!D227="Mauritius", 1, 0)</f>
        <v>0</v>
      </c>
      <c r="E227" s="15">
        <f>IF(Regression!A227&gt;201500, 1, 0)</f>
        <v>0</v>
      </c>
      <c r="F227" s="15">
        <f t="shared" si="13"/>
        <v>0</v>
      </c>
      <c r="G227" s="11">
        <f>Data!J227</f>
        <v>2.0207940784000775E-4</v>
      </c>
      <c r="H227" s="11">
        <f t="shared" si="14"/>
        <v>0</v>
      </c>
      <c r="I227" s="10">
        <f>Data!H227</f>
        <v>0.29169014084507044</v>
      </c>
      <c r="J227" s="10">
        <f>Data!I227</f>
        <v>0.58904519089667107</v>
      </c>
      <c r="K227" s="10">
        <f t="shared" si="12"/>
        <v>0.58898510156423833</v>
      </c>
      <c r="L227" s="17">
        <f>Data!N227</f>
        <v>0.1099218035029845</v>
      </c>
      <c r="M227" s="15">
        <f>Data!L227</f>
        <v>713.7</v>
      </c>
      <c r="N227" s="15">
        <f>Data!M227</f>
        <v>7.8542254865169525E-2</v>
      </c>
      <c r="O227" s="15">
        <f>Data!O227</f>
        <v>73.975814819335938</v>
      </c>
      <c r="P227" s="17">
        <f>Data!P227</f>
        <v>0.74960000000000004</v>
      </c>
      <c r="Q227" s="17">
        <f>Data!R227</f>
        <v>-1.23</v>
      </c>
      <c r="R227" s="15">
        <f>Data!Q227</f>
        <v>-0.05</v>
      </c>
      <c r="S227" s="15">
        <f t="shared" si="15"/>
        <v>0</v>
      </c>
    </row>
    <row r="228" spans="1:19" x14ac:dyDescent="0.25">
      <c r="A228" s="15">
        <f>Data!A228</f>
        <v>201306</v>
      </c>
      <c r="B228" s="15">
        <v>80450</v>
      </c>
      <c r="C228" s="15">
        <f>Data!F228</f>
        <v>52895</v>
      </c>
      <c r="D228" s="15">
        <f>IF(Data!D228="Mauritius", 1, 0)</f>
        <v>0</v>
      </c>
      <c r="E228" s="15">
        <f>IF(Regression!A228&gt;201500, 1, 0)</f>
        <v>0</v>
      </c>
      <c r="F228" s="15">
        <f t="shared" si="13"/>
        <v>0</v>
      </c>
      <c r="G228" s="11">
        <f>Data!J228</f>
        <v>3.2872427450561939E-3</v>
      </c>
      <c r="H228" s="11">
        <f t="shared" si="14"/>
        <v>0</v>
      </c>
      <c r="I228" s="10">
        <f>Data!H228</f>
        <v>0.97953703703703698</v>
      </c>
      <c r="J228" s="10">
        <f>Data!I228</f>
        <v>0.81351639035780177</v>
      </c>
      <c r="K228" s="10">
        <f t="shared" si="12"/>
        <v>0.81406214052412762</v>
      </c>
      <c r="L228" s="17">
        <f>Data!N228</f>
        <v>-0.55801446726921877</v>
      </c>
      <c r="M228" s="15">
        <f>Data!L228</f>
        <v>713.7</v>
      </c>
      <c r="N228" s="15">
        <f>Data!M228</f>
        <v>0.11796491593122482</v>
      </c>
      <c r="O228" s="15">
        <f>Data!O228</f>
        <v>82.973007202148438</v>
      </c>
      <c r="P228" s="17">
        <f>Data!P228</f>
        <v>1</v>
      </c>
      <c r="Q228" s="17">
        <f>Data!R228</f>
        <v>-1.23</v>
      </c>
      <c r="R228" s="15">
        <f>Data!Q228</f>
        <v>-0.05</v>
      </c>
      <c r="S228" s="15">
        <f t="shared" si="15"/>
        <v>0</v>
      </c>
    </row>
    <row r="229" spans="1:19" x14ac:dyDescent="0.25">
      <c r="A229" s="15">
        <f>Data!A229</f>
        <v>201305</v>
      </c>
      <c r="B229" s="15">
        <v>80450</v>
      </c>
      <c r="C229" s="15">
        <f>Data!F229</f>
        <v>16688</v>
      </c>
      <c r="D229" s="15">
        <f>IF(Data!D229="Mauritius", 1, 0)</f>
        <v>0</v>
      </c>
      <c r="E229" s="15">
        <f>IF(Regression!A229&gt;201500, 1, 0)</f>
        <v>0</v>
      </c>
      <c r="F229" s="15">
        <f t="shared" si="13"/>
        <v>0</v>
      </c>
      <c r="G229" s="11">
        <f>Data!J229</f>
        <v>6.123398964907802E-4</v>
      </c>
      <c r="H229" s="11">
        <f t="shared" si="14"/>
        <v>0</v>
      </c>
      <c r="I229" s="10">
        <f>Data!H229</f>
        <v>0.99844441785329663</v>
      </c>
      <c r="J229" s="10">
        <f>Data!I229</f>
        <v>1.3488334201858603</v>
      </c>
      <c r="K229" s="10">
        <f t="shared" si="12"/>
        <v>1.3486188630204405</v>
      </c>
      <c r="L229" s="17">
        <f>Data!N229</f>
        <v>-1.0210527092588029</v>
      </c>
      <c r="M229" s="15">
        <f>Data!L229</f>
        <v>713.7</v>
      </c>
      <c r="N229" s="15">
        <f>Data!M229</f>
        <v>0.12266397476196289</v>
      </c>
      <c r="O229" s="15">
        <f>Data!O229</f>
        <v>83.717315673828125</v>
      </c>
      <c r="P229" s="17">
        <f>Data!P229</f>
        <v>0.93569999999999998</v>
      </c>
      <c r="Q229" s="17">
        <f>Data!R229</f>
        <v>-1.23</v>
      </c>
      <c r="R229" s="15">
        <f>Data!Q229</f>
        <v>-0.05</v>
      </c>
      <c r="S229" s="15">
        <f t="shared" si="15"/>
        <v>0</v>
      </c>
    </row>
    <row r="230" spans="1:19" x14ac:dyDescent="0.25">
      <c r="A230" s="15">
        <f>Data!A230</f>
        <v>201304</v>
      </c>
      <c r="B230" s="15">
        <v>80450</v>
      </c>
      <c r="C230" s="15">
        <f>Data!F230</f>
        <v>7831</v>
      </c>
      <c r="D230" s="15">
        <f>IF(Data!D230="Mauritius", 1, 0)</f>
        <v>0</v>
      </c>
      <c r="E230" s="15">
        <f>IF(Regression!A230&gt;201500, 1, 0)</f>
        <v>0</v>
      </c>
      <c r="F230" s="15">
        <f t="shared" si="13"/>
        <v>0</v>
      </c>
      <c r="G230" s="11">
        <f>Data!J230</f>
        <v>3.6561292548840328E-4</v>
      </c>
      <c r="H230" s="11">
        <f t="shared" si="14"/>
        <v>0</v>
      </c>
      <c r="I230" s="10">
        <f>Data!H230</f>
        <v>0.87011111111111106</v>
      </c>
      <c r="J230" s="10">
        <f>Data!I230</f>
        <v>1.107162560679527</v>
      </c>
      <c r="K230" s="10">
        <f t="shared" si="12"/>
        <v>1.107075891605559</v>
      </c>
      <c r="L230" s="17">
        <f>Data!N230</f>
        <v>-0.3085657666524263</v>
      </c>
      <c r="M230" s="15">
        <f>Data!L230</f>
        <v>713.7</v>
      </c>
      <c r="N230" s="15">
        <f>Data!M230</f>
        <v>0.14600180089473724</v>
      </c>
      <c r="O230" s="15">
        <f>Data!O230</f>
        <v>95.107872009277344</v>
      </c>
      <c r="P230" s="17">
        <f>Data!P230</f>
        <v>0.99260000000000004</v>
      </c>
      <c r="Q230" s="17">
        <f>Data!R230</f>
        <v>-1.23</v>
      </c>
      <c r="R230" s="15">
        <f>Data!Q230</f>
        <v>-0.05</v>
      </c>
      <c r="S230" s="15">
        <f t="shared" si="15"/>
        <v>0</v>
      </c>
    </row>
    <row r="231" spans="1:19" x14ac:dyDescent="0.25">
      <c r="A231" s="15">
        <f>Data!A231</f>
        <v>201303</v>
      </c>
      <c r="B231" s="15">
        <v>80450</v>
      </c>
      <c r="C231" s="15">
        <f>Data!F231</f>
        <v>30113</v>
      </c>
      <c r="D231" s="15">
        <f>IF(Data!D231="Mauritius", 1, 0)</f>
        <v>0</v>
      </c>
      <c r="E231" s="15">
        <f>IF(Regression!A231&gt;201500, 1, 0)</f>
        <v>0</v>
      </c>
      <c r="F231" s="15">
        <f t="shared" si="13"/>
        <v>0</v>
      </c>
      <c r="G231" s="11">
        <f>Data!J231</f>
        <v>1.8209455359320332E-3</v>
      </c>
      <c r="H231" s="11">
        <f t="shared" si="14"/>
        <v>0</v>
      </c>
      <c r="I231" s="10">
        <f>Data!H231</f>
        <v>0.74781464189927482</v>
      </c>
      <c r="J231" s="10">
        <f>Data!I231</f>
        <v>0.83122150359342051</v>
      </c>
      <c r="K231" s="10">
        <f t="shared" si="12"/>
        <v>0.83106962424095243</v>
      </c>
      <c r="L231" s="17">
        <f>Data!N231</f>
        <v>-0.19831975579129249</v>
      </c>
      <c r="M231" s="15">
        <f>Data!L231</f>
        <v>713.7</v>
      </c>
      <c r="N231" s="15">
        <f>Data!M231</f>
        <v>9.2192046344280243E-2</v>
      </c>
      <c r="O231" s="15">
        <f>Data!O231</f>
        <v>75.896720886230469</v>
      </c>
      <c r="P231" s="17">
        <f>Data!P231</f>
        <v>0.91390000000000005</v>
      </c>
      <c r="Q231" s="17">
        <f>Data!R231</f>
        <v>-1.23</v>
      </c>
      <c r="R231" s="15">
        <f>Data!Q231</f>
        <v>-0.05</v>
      </c>
      <c r="S231" s="15">
        <f t="shared" si="15"/>
        <v>0</v>
      </c>
    </row>
    <row r="232" spans="1:19" x14ac:dyDescent="0.25">
      <c r="A232" s="15">
        <f>Data!A232</f>
        <v>201302</v>
      </c>
      <c r="B232" s="15">
        <v>80450</v>
      </c>
      <c r="C232" s="15">
        <f>Data!F232</f>
        <v>7905</v>
      </c>
      <c r="D232" s="15">
        <f>IF(Data!D232="Mauritius", 1, 0)</f>
        <v>0</v>
      </c>
      <c r="E232" s="15">
        <f>IF(Regression!A232&gt;201500, 1, 0)</f>
        <v>0</v>
      </c>
      <c r="F232" s="15">
        <f t="shared" si="13"/>
        <v>0</v>
      </c>
      <c r="G232" s="11">
        <f>Data!J232</f>
        <v>7.8954567614124803E-4</v>
      </c>
      <c r="H232" s="11">
        <f t="shared" si="14"/>
        <v>0</v>
      </c>
      <c r="I232" s="10">
        <f>Data!H232</f>
        <v>0.4160526315789474</v>
      </c>
      <c r="J232" s="10">
        <f>Data!I232</f>
        <v>0.86039048257586914</v>
      </c>
      <c r="K232" s="10">
        <f t="shared" si="12"/>
        <v>0.86003965754686873</v>
      </c>
      <c r="L232" s="17">
        <f>Data!N232</f>
        <v>-0.52819726325760497</v>
      </c>
      <c r="M232" s="15">
        <f>Data!L232</f>
        <v>713.7</v>
      </c>
      <c r="N232" s="15">
        <f>Data!M232</f>
        <v>0.11446615308523178</v>
      </c>
      <c r="O232" s="15">
        <f>Data!O232</f>
        <v>81.59033203125</v>
      </c>
      <c r="P232" s="17">
        <f>Data!P232</f>
        <v>0.55669999999999997</v>
      </c>
      <c r="Q232" s="17">
        <f>Data!R232</f>
        <v>-1.23</v>
      </c>
      <c r="R232" s="15">
        <f>Data!Q232</f>
        <v>-0.05</v>
      </c>
      <c r="S232" s="15">
        <f t="shared" si="15"/>
        <v>0</v>
      </c>
    </row>
    <row r="233" spans="1:19" x14ac:dyDescent="0.25">
      <c r="A233" s="15">
        <f>Data!A233</f>
        <v>201301</v>
      </c>
      <c r="B233" s="15">
        <v>80450</v>
      </c>
      <c r="C233" s="15">
        <f>Data!F233</f>
        <v>39804</v>
      </c>
      <c r="D233" s="15">
        <f>IF(Data!D233="Mauritius", 1, 0)</f>
        <v>0</v>
      </c>
      <c r="E233" s="15">
        <f>IF(Regression!A233&gt;201500, 1, 0)</f>
        <v>0</v>
      </c>
      <c r="F233" s="15">
        <f t="shared" si="13"/>
        <v>0</v>
      </c>
      <c r="G233" s="11">
        <f>Data!J233</f>
        <v>3.9550560011446653E-3</v>
      </c>
      <c r="H233" s="11">
        <f t="shared" si="14"/>
        <v>0</v>
      </c>
      <c r="I233" s="10">
        <f>Data!H233</f>
        <v>0.74399999999999999</v>
      </c>
      <c r="J233" s="10">
        <f>Data!I233</f>
        <v>0.75990023821444797</v>
      </c>
      <c r="K233" s="10">
        <f t="shared" si="12"/>
        <v>0.75983735188187829</v>
      </c>
      <c r="L233" s="17">
        <f>Data!N233</f>
        <v>0.35661919136426945</v>
      </c>
      <c r="M233" s="15">
        <f>Data!L233</f>
        <v>713.7</v>
      </c>
      <c r="N233" s="15">
        <f>Data!M233</f>
        <v>0.11742687970399857</v>
      </c>
      <c r="O233" s="15">
        <f>Data!O233</f>
        <v>90.657493591308594</v>
      </c>
      <c r="P233" s="17">
        <f>Data!P233</f>
        <v>0.15379999999999999</v>
      </c>
      <c r="Q233" s="17">
        <f>Data!R233</f>
        <v>-1.23</v>
      </c>
      <c r="R233" s="15">
        <f>Data!Q233</f>
        <v>-0.05</v>
      </c>
      <c r="S233" s="15">
        <f t="shared" si="1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Devneel Daga</dc:creator>
  <cp:lastModifiedBy>Devneel Daga</cp:lastModifiedBy>
  <dcterms:created xsi:type="dcterms:W3CDTF">2025-10-27T16:31:07Z</dcterms:created>
  <dcterms:modified xsi:type="dcterms:W3CDTF">2025-11-20T20:28:24Z</dcterms:modified>
</cp:coreProperties>
</file>